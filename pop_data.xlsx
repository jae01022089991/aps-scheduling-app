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ython\RPA\"/>
    </mc:Choice>
  </mc:AlternateContent>
  <bookViews>
    <workbookView xWindow="-120" yWindow="-120" windowWidth="29040" windowHeight="15840" activeTab="1"/>
  </bookViews>
  <sheets>
    <sheet name="피벗" sheetId="5" r:id="rId1"/>
    <sheet name="Sheet1" sheetId="3" r:id="rId2"/>
    <sheet name="샘플" sheetId="4" r:id="rId3"/>
    <sheet name="우선순위" sheetId="1" r:id="rId4"/>
  </sheets>
  <definedNames>
    <definedName name="ExternalData_1" localSheetId="3" hidden="1">우선순위!$A$1:$D$84</definedName>
    <definedName name="ExternalData_2" localSheetId="1" hidden="1">Sheet1!$A$1:$K$1054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공정중오더_a351228d-93b4-4d07-a847-abee04cfc11d" name="공정중오더" connection="Query - 공정중오더"/>
          <x15:modelTable id="공정중_우선순위_08cd8cfe-c306-4421-ab3f-6a744ad06673" name="공정중_우선순위" connection="Query - 공정중_우선순위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L125" i="3"/>
  <c r="L126" i="3"/>
  <c r="L127" i="3"/>
  <c r="L128" i="3"/>
  <c r="L129" i="3"/>
  <c r="L130" i="3"/>
  <c r="L105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116" i="3"/>
  <c r="L117" i="3"/>
  <c r="L118" i="3"/>
  <c r="L119" i="3"/>
  <c r="L120" i="3"/>
  <c r="L121" i="3"/>
  <c r="L122" i="3"/>
  <c r="L123" i="3"/>
  <c r="L96" i="3"/>
  <c r="L97" i="3"/>
  <c r="L98" i="3"/>
  <c r="L99" i="3"/>
  <c r="L131" i="3"/>
  <c r="L132" i="3"/>
  <c r="L100" i="3"/>
  <c r="L101" i="3"/>
  <c r="L102" i="3"/>
  <c r="L103" i="3"/>
  <c r="L104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7" i="3"/>
  <c r="L418" i="3"/>
  <c r="L419" i="3"/>
  <c r="L420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424" i="3"/>
  <c r="L425" i="3"/>
  <c r="L426" i="3"/>
  <c r="L427" i="3"/>
  <c r="L590" i="3"/>
  <c r="L591" i="3"/>
  <c r="L592" i="3"/>
  <c r="L593" i="3"/>
  <c r="L428" i="3"/>
  <c r="L429" i="3"/>
  <c r="L430" i="3"/>
  <c r="L431" i="3"/>
  <c r="L432" i="3"/>
  <c r="L433" i="3"/>
  <c r="L434" i="3"/>
  <c r="L435" i="3"/>
  <c r="L436" i="3"/>
  <c r="L437" i="3"/>
  <c r="L438" i="3"/>
  <c r="L445" i="3"/>
  <c r="L446" i="3"/>
  <c r="L447" i="3"/>
  <c r="L439" i="3"/>
  <c r="L440" i="3"/>
  <c r="L441" i="3"/>
  <c r="L442" i="3"/>
  <c r="L443" i="3"/>
  <c r="L444" i="3"/>
  <c r="L112" i="3"/>
  <c r="L113" i="3"/>
  <c r="L114" i="3"/>
  <c r="L115" i="3"/>
  <c r="L106" i="3"/>
  <c r="L107" i="3"/>
  <c r="L108" i="3"/>
  <c r="L109" i="3"/>
  <c r="L110" i="3"/>
  <c r="L111" i="3"/>
  <c r="L398" i="3"/>
  <c r="L399" i="3"/>
  <c r="L400" i="3"/>
  <c r="L401" i="3"/>
  <c r="L526" i="3"/>
  <c r="L527" i="3"/>
  <c r="L528" i="3"/>
  <c r="L529" i="3"/>
  <c r="L530" i="3"/>
  <c r="L585" i="3"/>
  <c r="L586" i="3"/>
  <c r="L587" i="3"/>
  <c r="L588" i="3"/>
  <c r="L589" i="3"/>
  <c r="L293" i="3"/>
  <c r="L294" i="3"/>
  <c r="L295" i="3"/>
  <c r="L415" i="3"/>
  <c r="L416" i="3"/>
  <c r="L332" i="3"/>
  <c r="L333" i="3"/>
  <c r="L334" i="3"/>
  <c r="L335" i="3"/>
  <c r="L391" i="3"/>
  <c r="L392" i="3"/>
  <c r="L393" i="3"/>
  <c r="L394" i="3"/>
  <c r="L395" i="3"/>
  <c r="L396" i="3"/>
  <c r="L397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84" i="3"/>
  <c r="L385" i="3"/>
  <c r="L386" i="3"/>
  <c r="L387" i="3"/>
  <c r="L371" i="3"/>
  <c r="L372" i="3"/>
  <c r="L373" i="3"/>
  <c r="L374" i="3"/>
  <c r="L375" i="3"/>
  <c r="L376" i="3"/>
  <c r="L377" i="3"/>
  <c r="L378" i="3"/>
  <c r="L379" i="3"/>
  <c r="L380" i="3"/>
  <c r="L381" i="3"/>
  <c r="L388" i="3"/>
  <c r="L389" i="3"/>
  <c r="L390" i="3"/>
  <c r="L382" i="3"/>
  <c r="L383" i="3"/>
  <c r="L421" i="3"/>
  <c r="L422" i="3"/>
  <c r="L423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92" i="3"/>
  <c r="L93" i="3"/>
  <c r="L94" i="3"/>
  <c r="L95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448" i="3"/>
  <c r="L449" i="3"/>
  <c r="L450" i="3"/>
  <c r="L451" i="3"/>
  <c r="L452" i="3"/>
  <c r="L453" i="3"/>
  <c r="L454" i="3"/>
  <c r="L455" i="3"/>
  <c r="L456" i="3"/>
  <c r="L457" i="3"/>
  <c r="L10" i="3"/>
  <c r="L11" i="3"/>
  <c r="L12" i="3"/>
  <c r="L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14" i="3"/>
  <c r="L15" i="3"/>
  <c r="L16" i="3"/>
  <c r="L17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50" i="3"/>
  <c r="L51" i="3"/>
  <c r="L52" i="3"/>
  <c r="L53" i="3"/>
  <c r="L54" i="3"/>
  <c r="L55" i="3"/>
  <c r="L56" i="3"/>
  <c r="L57" i="3"/>
  <c r="L714" i="3"/>
  <c r="L715" i="3"/>
  <c r="L716" i="3"/>
  <c r="L717" i="3"/>
  <c r="L718" i="3"/>
  <c r="L719" i="3"/>
  <c r="L58" i="3"/>
  <c r="L59" i="3"/>
  <c r="L60" i="3"/>
  <c r="L61" i="3"/>
  <c r="L62" i="3"/>
  <c r="L63" i="3"/>
  <c r="L64" i="3"/>
  <c r="L65" i="3"/>
  <c r="L720" i="3"/>
  <c r="L721" i="3"/>
  <c r="L722" i="3"/>
  <c r="L723" i="3"/>
  <c r="L724" i="3"/>
  <c r="L725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259" i="3"/>
  <c r="L260" i="3"/>
  <c r="L261" i="3"/>
  <c r="L262" i="3"/>
  <c r="L263" i="3"/>
  <c r="L264" i="3"/>
  <c r="L265" i="3"/>
  <c r="L266" i="3"/>
  <c r="L66" i="3"/>
  <c r="L67" i="3"/>
  <c r="L68" i="3"/>
  <c r="L82" i="3"/>
  <c r="L83" i="3"/>
  <c r="L326" i="3"/>
  <c r="L327" i="3"/>
  <c r="L328" i="3"/>
  <c r="L329" i="3"/>
  <c r="L330" i="3"/>
  <c r="L331" i="3"/>
  <c r="L84" i="3"/>
  <c r="L85" i="3"/>
  <c r="L86" i="3"/>
  <c r="L87" i="3"/>
  <c r="L88" i="3"/>
  <c r="L89" i="3"/>
  <c r="L90" i="3"/>
  <c r="L91" i="3"/>
  <c r="L2" i="3"/>
  <c r="L3" i="3"/>
  <c r="L4" i="3"/>
  <c r="L5" i="3"/>
  <c r="L6" i="3"/>
  <c r="L7" i="3"/>
  <c r="L8" i="3"/>
  <c r="L9" i="3"/>
  <c r="L774" i="3"/>
  <c r="L754" i="3"/>
  <c r="L755" i="3"/>
  <c r="L726" i="3"/>
  <c r="L727" i="3"/>
  <c r="L728" i="3"/>
  <c r="L729" i="3"/>
  <c r="L730" i="3"/>
  <c r="L731" i="3"/>
  <c r="L732" i="3"/>
  <c r="L733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868" i="3"/>
  <c r="L869" i="3"/>
  <c r="L1007" i="3"/>
  <c r="L1008" i="3"/>
  <c r="L1009" i="3"/>
  <c r="L740" i="3"/>
  <c r="L741" i="3"/>
  <c r="L734" i="3"/>
  <c r="L735" i="3"/>
  <c r="L736" i="3"/>
  <c r="L737" i="3"/>
  <c r="L738" i="3"/>
  <c r="L739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75" i="3"/>
  <c r="L776" i="3"/>
  <c r="L901" i="3"/>
  <c r="L902" i="3"/>
  <c r="L903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853" i="3"/>
  <c r="L854" i="3"/>
  <c r="L855" i="3"/>
  <c r="L856" i="3"/>
  <c r="L857" i="3"/>
  <c r="L858" i="3"/>
  <c r="L859" i="3"/>
  <c r="L860" i="3"/>
  <c r="L861" i="3"/>
  <c r="L862" i="3"/>
  <c r="L998" i="3"/>
  <c r="L999" i="3"/>
  <c r="L1000" i="3"/>
  <c r="L1001" i="3"/>
  <c r="L1002" i="3"/>
  <c r="L1003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863" i="3"/>
  <c r="L864" i="3"/>
  <c r="L865" i="3"/>
  <c r="L866" i="3"/>
  <c r="L867" i="3"/>
  <c r="L1004" i="3"/>
  <c r="L1005" i="3"/>
  <c r="L1006" i="3"/>
  <c r="L848" i="3"/>
  <c r="L849" i="3"/>
  <c r="L850" i="3"/>
  <c r="L851" i="3"/>
  <c r="L852" i="3"/>
  <c r="L996" i="3"/>
  <c r="L997" i="3"/>
  <c r="L1047" i="3"/>
  <c r="L1048" i="3"/>
  <c r="L786" i="3"/>
  <c r="L913" i="3"/>
  <c r="L914" i="3"/>
  <c r="L915" i="3"/>
  <c r="L916" i="3"/>
  <c r="L917" i="3"/>
  <c r="L918" i="3"/>
  <c r="L779" i="3"/>
  <c r="L780" i="3"/>
  <c r="L781" i="3"/>
  <c r="L782" i="3"/>
  <c r="L783" i="3"/>
  <c r="L784" i="3"/>
  <c r="L785" i="3"/>
  <c r="L907" i="3"/>
  <c r="L908" i="3"/>
  <c r="L909" i="3"/>
  <c r="L910" i="3"/>
  <c r="L911" i="3"/>
  <c r="L912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1049" i="3"/>
  <c r="L1050" i="3"/>
  <c r="L1051" i="3"/>
  <c r="L1052" i="3"/>
  <c r="L1053" i="3"/>
  <c r="L1054" i="3"/>
  <c r="L777" i="3"/>
  <c r="L778" i="3"/>
  <c r="L904" i="3"/>
  <c r="L905" i="3"/>
  <c r="L906" i="3"/>
  <c r="L835" i="3"/>
  <c r="L975" i="3"/>
  <c r="L976" i="3"/>
  <c r="L977" i="3"/>
  <c r="L978" i="3"/>
  <c r="L979" i="3"/>
  <c r="L980" i="3"/>
  <c r="L898" i="3"/>
  <c r="L899" i="3"/>
  <c r="L900" i="3"/>
  <c r="L1031" i="3"/>
  <c r="L124" i="3"/>
</calcChain>
</file>

<file path=xl/connections.xml><?xml version="1.0" encoding="utf-8"?>
<connections xmlns="http://schemas.openxmlformats.org/spreadsheetml/2006/main">
  <connection id="1" keepAlive="1" name="ModelConnection_ExternalData_1" description="Data Model" type="5" refreshedVersion="8" minRefreshableVersion="5" saveData="1">
    <dbPr connection="Data Model Connection" command="공정중_우선순위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keepAlive="1" name="Query - ZPPR0130" description="Connection to the 'ZPPR0130' query in the workbook." type="5" refreshedVersion="8" background="1" saveData="1">
    <dbPr connection="Provider=Microsoft.Mashup.OleDb.1;Data Source=$Workbook$;Location=ZPPR0130;Extended Properties=&quot;&quot;" command="SELECT * FROM [ZPPR0130]"/>
  </connection>
  <connection id="4" name="Query - 공정중_우선순위" description="Connection to the '공정중_우선순위' query in the workbook." type="100" refreshedVersion="8" minRefreshableVersion="5">
    <extLst>
      <ext xmlns:x15="http://schemas.microsoft.com/office/spreadsheetml/2010/11/main" uri="{DE250136-89BD-433C-8126-D09CA5730AF9}">
        <x15:connection id="d703d787-5efa-4dba-a9e3-f9dd34ea0c4d"/>
      </ext>
    </extLst>
  </connection>
  <connection id="5" name="Query - 공정중오더" description="Connection to the '공정중오더' query in the workbook." type="100" refreshedVersion="8" minRefreshableVersion="5">
    <extLst>
      <ext xmlns:x15="http://schemas.microsoft.com/office/spreadsheetml/2010/11/main" uri="{DE250136-89BD-433C-8126-D09CA5730AF9}">
        <x15:connection id="6daa08c7-c06a-4f90-96bb-da9f2e1a00e4"/>
      </ext>
    </extLst>
  </connection>
  <connection id="6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<sst xmlns="http://schemas.openxmlformats.org/spreadsheetml/2006/main" count="8817" uniqueCount="761">
  <si>
    <t>공정명</t>
  </si>
  <si>
    <t>700107</t>
  </si>
  <si>
    <t>아나탄정8MG 반제품</t>
  </si>
  <si>
    <t>과립</t>
  </si>
  <si>
    <t>혼합</t>
  </si>
  <si>
    <t>타정</t>
  </si>
  <si>
    <t>선별</t>
  </si>
  <si>
    <t>700108</t>
  </si>
  <si>
    <t>아나모틴정5MG 반제품</t>
  </si>
  <si>
    <t>코팅</t>
  </si>
  <si>
    <t>캡슐충전</t>
  </si>
  <si>
    <t>질량선별</t>
  </si>
  <si>
    <t>700110</t>
  </si>
  <si>
    <t>아펜탈정100MG 반제품</t>
  </si>
  <si>
    <t>인쇄</t>
  </si>
  <si>
    <t>700112</t>
  </si>
  <si>
    <t>안탁스캡슐180MG 반제품</t>
  </si>
  <si>
    <t>700113</t>
  </si>
  <si>
    <t>아나탄정16MG 반제품</t>
  </si>
  <si>
    <t>700114</t>
  </si>
  <si>
    <t>보믹캡슐7.5MG 반제품</t>
  </si>
  <si>
    <t>700115</t>
  </si>
  <si>
    <t>아주브론정12.5MG 반제품</t>
  </si>
  <si>
    <t>700117</t>
  </si>
  <si>
    <t>브롱코박솜캡슐(성인용)40MG 반제품</t>
  </si>
  <si>
    <t>700125</t>
  </si>
  <si>
    <t>크레트롤정10/10MG 반제품</t>
  </si>
  <si>
    <t>700127</t>
  </si>
  <si>
    <t>엑손정50MG 반제품</t>
  </si>
  <si>
    <t>당의</t>
  </si>
  <si>
    <t>700129</t>
  </si>
  <si>
    <t>아주오메프라졸캡슐20MG 반제품</t>
  </si>
  <si>
    <t>700130</t>
  </si>
  <si>
    <t>크레트롤정10/5MG 반제품</t>
  </si>
  <si>
    <t>700131</t>
  </si>
  <si>
    <t>크레트롤정10/20MG 반제품</t>
  </si>
  <si>
    <t>700132</t>
  </si>
  <si>
    <t>엑손SR정75MG 반제품</t>
  </si>
  <si>
    <t>700139</t>
  </si>
  <si>
    <t>오미탄정25MG 반제품</t>
  </si>
  <si>
    <t>700146</t>
  </si>
  <si>
    <t>트로돈캡슐50MG 반제품</t>
  </si>
  <si>
    <t>700148</t>
  </si>
  <si>
    <t>유로박솜캡슐60MG 반제품</t>
  </si>
  <si>
    <t>700150</t>
  </si>
  <si>
    <t>제로시드정20/1100 반제품</t>
  </si>
  <si>
    <t>700151</t>
  </si>
  <si>
    <t>정장생캡슐250MG 반제품</t>
  </si>
  <si>
    <t>700162</t>
  </si>
  <si>
    <t>아나솔정 반제품</t>
  </si>
  <si>
    <t>700163</t>
  </si>
  <si>
    <t>아나빅스75mg 반제품</t>
  </si>
  <si>
    <t>700170</t>
  </si>
  <si>
    <t>한올에페리손정50MG 반제품 (한올바이오)</t>
  </si>
  <si>
    <t>700175</t>
  </si>
  <si>
    <t>이지산트정10/10MG 반제품 (보령)</t>
  </si>
  <si>
    <t>700176</t>
  </si>
  <si>
    <t>이지산트정10/5MG 반제품 (보령)</t>
  </si>
  <si>
    <t>700178</t>
  </si>
  <si>
    <t>세클로낙정100MG 반제품 (종근당)</t>
  </si>
  <si>
    <t>700180</t>
  </si>
  <si>
    <t>뮤프리손정50MG 반제품 (종근당)</t>
  </si>
  <si>
    <t>700190</t>
  </si>
  <si>
    <t>에페날서방정75MG 반제품 (동국제약)</t>
  </si>
  <si>
    <t>700192</t>
  </si>
  <si>
    <t>대웅바이오에페리손정50MG 반제품 (대웅바이오)</t>
  </si>
  <si>
    <t>700193</t>
  </si>
  <si>
    <t>네렉손서방정75MG 반제품 (대원제약)</t>
  </si>
  <si>
    <t>700198</t>
  </si>
  <si>
    <t>에펠정(에이프로젠)50MG 반제품 (에이프로젠)</t>
  </si>
  <si>
    <t>700201</t>
  </si>
  <si>
    <t>글로에리손SR서방정75MG 반제품 (킵스바이오파마)</t>
  </si>
  <si>
    <t>700212</t>
  </si>
  <si>
    <t>에페프린정50MG 반제품 (한화제약)</t>
  </si>
  <si>
    <t>700221</t>
  </si>
  <si>
    <t>에펜서방정75MG 반제품 (경동제약)</t>
  </si>
  <si>
    <t>700225</t>
  </si>
  <si>
    <t>에릭손SR정75MG 반제품 (국제약품)</t>
  </si>
  <si>
    <t>700252</t>
  </si>
  <si>
    <t>엑소닌정50MG 반제품 (SK)</t>
  </si>
  <si>
    <t>700270</t>
  </si>
  <si>
    <t>비디텍정25MG 반제품 (영일제약)</t>
  </si>
  <si>
    <t>700367</t>
  </si>
  <si>
    <t>다파릴정10mg 반제품</t>
  </si>
  <si>
    <t>700374</t>
  </si>
  <si>
    <t>다파릴정5mg 반제품</t>
  </si>
  <si>
    <t>700382</t>
  </si>
  <si>
    <t>도베셀정 500MG 반제품</t>
  </si>
  <si>
    <t>700394</t>
  </si>
  <si>
    <t>크레트롤정10/10MG 반제품 (수출)</t>
  </si>
  <si>
    <t>700403</t>
  </si>
  <si>
    <t>다파릴듀오서방정10/1000mg 반제품</t>
  </si>
  <si>
    <t>과립(다파층)</t>
  </si>
  <si>
    <t>과립(매트층)</t>
  </si>
  <si>
    <t>혼합(다파층)</t>
  </si>
  <si>
    <t>혼합(매트층)</t>
  </si>
  <si>
    <t>700404</t>
  </si>
  <si>
    <t>다파릴듀오서방정10/500mg 반제품</t>
  </si>
  <si>
    <t>700416</t>
  </si>
  <si>
    <t>폴민다파서방정10/1000mg 반제품 (녹십자)</t>
  </si>
  <si>
    <t>700417</t>
  </si>
  <si>
    <t>폴민다파서방정10/500mg 반제품 (녹십자)</t>
  </si>
  <si>
    <t>700423</t>
  </si>
  <si>
    <t>아펙손정 반제품</t>
  </si>
  <si>
    <t>분쇄(서방층)</t>
  </si>
  <si>
    <t>롤러콤펙트(서방층)</t>
  </si>
  <si>
    <t>혼합(서방층)</t>
  </si>
  <si>
    <t>혼합(아펜탈층)</t>
  </si>
  <si>
    <t>700425</t>
  </si>
  <si>
    <t>아세리손정 반제품 (마더스제약)</t>
  </si>
  <si>
    <t>700426</t>
  </si>
  <si>
    <t>에페신에이스정 반제품 (명문제약)</t>
  </si>
  <si>
    <t>700427</t>
  </si>
  <si>
    <t>에어페낙듀오정 반제품 (동구바이오제약)</t>
  </si>
  <si>
    <t>700437</t>
  </si>
  <si>
    <t>페낙손정 반제품 (환인제약)</t>
  </si>
  <si>
    <t>700438</t>
  </si>
  <si>
    <t>네오다파정10mg 반제품(녹십자)</t>
  </si>
  <si>
    <t>700446</t>
  </si>
  <si>
    <t>포다글정10mg 반제품(이연제약)</t>
  </si>
  <si>
    <t>700451</t>
  </si>
  <si>
    <t>대웅바이오에페리손서방정75MG 반제품(대웅바이오)</t>
  </si>
  <si>
    <t>700452</t>
  </si>
  <si>
    <t>네오다파정5mg 반제품(녹십자)</t>
  </si>
  <si>
    <t>700453</t>
  </si>
  <si>
    <t>포글린정5mg 반제품(하나제약)</t>
  </si>
  <si>
    <t>조제</t>
  </si>
  <si>
    <t>세척 및 멸균</t>
  </si>
  <si>
    <t>충전 및 실링</t>
  </si>
  <si>
    <t>충전</t>
  </si>
  <si>
    <t>이물검사</t>
  </si>
  <si>
    <t>기밀도/라벨</t>
  </si>
  <si>
    <t>제품멸균</t>
  </si>
  <si>
    <t>700525</t>
  </si>
  <si>
    <t>다파리나정 반제품</t>
  </si>
  <si>
    <t>700526</t>
  </si>
  <si>
    <t>트루다파엘정10/5mg 반제품 (보령)</t>
  </si>
  <si>
    <t>700555</t>
  </si>
  <si>
    <t>AYP-101(2.5%) 1V 반제품 (아미팜)</t>
  </si>
  <si>
    <t>PTP충전</t>
  </si>
  <si>
    <t>PTP포장</t>
  </si>
  <si>
    <t>수동포장</t>
  </si>
  <si>
    <t>병충전</t>
  </si>
  <si>
    <t>병포장</t>
  </si>
  <si>
    <t>라벨링</t>
  </si>
  <si>
    <t>카톤</t>
  </si>
  <si>
    <t>900155</t>
  </si>
  <si>
    <t>엑손정50MG 500T (병)</t>
  </si>
  <si>
    <t>900209</t>
  </si>
  <si>
    <t>안탁스캡슐180MG 30C (병)</t>
  </si>
  <si>
    <t>900240</t>
  </si>
  <si>
    <t>트로돈주50MG 50A</t>
  </si>
  <si>
    <t>900243</t>
  </si>
  <si>
    <t>아이델라주25MG 10A</t>
  </si>
  <si>
    <t>900683</t>
  </si>
  <si>
    <t>엑소닌CR서방정75MG 30T (병)(SK)</t>
  </si>
  <si>
    <t>900684</t>
  </si>
  <si>
    <t>엑소닌CR서방정75MG 500T (병)(SK)</t>
  </si>
  <si>
    <t>900688</t>
  </si>
  <si>
    <t>에페라SR정75MG 500T (병)(하나제약)</t>
  </si>
  <si>
    <t>900694</t>
  </si>
  <si>
    <t>에페신SR정75MG 500T (병)(명문제약)</t>
  </si>
  <si>
    <t>900817</t>
  </si>
  <si>
    <t>데노간주1G 10V (영진약품)</t>
  </si>
  <si>
    <t>검사</t>
  </si>
  <si>
    <t>900832</t>
  </si>
  <si>
    <t>에취투주200MG 50A (중외제약)</t>
  </si>
  <si>
    <t>900833</t>
  </si>
  <si>
    <t>라보파주50MG 10A (중외제약)</t>
  </si>
  <si>
    <t>900835</t>
  </si>
  <si>
    <t>뮤테란주600MG 10A (한화제약)</t>
  </si>
  <si>
    <t>900837</t>
  </si>
  <si>
    <t>헤파멜즈인퓨전주5G 10A (한화제약)</t>
  </si>
  <si>
    <t>900839</t>
  </si>
  <si>
    <t>데노간주주사용수 10A (영진약품)</t>
  </si>
  <si>
    <t>900846</t>
  </si>
  <si>
    <t>프레디솔주125MG 1A (이연제약)</t>
  </si>
  <si>
    <t>900857</t>
  </si>
  <si>
    <t>메조나카주 50A (알보젠코리아)</t>
  </si>
  <si>
    <t>900870</t>
  </si>
  <si>
    <t>메트몰주 1G/10ML(구주제약) 10A</t>
  </si>
  <si>
    <t>900940</t>
  </si>
  <si>
    <t>셀베인주 10V (제론셀베인)</t>
  </si>
  <si>
    <t>900989</t>
  </si>
  <si>
    <t>제이비피플라몬주 10A (파마리서치)</t>
  </si>
  <si>
    <t>901030</t>
  </si>
  <si>
    <t>다파릴듀오서방정10/1000mg 30정 (PTP)</t>
  </si>
  <si>
    <t>901380</t>
  </si>
  <si>
    <t>필로스주 10A (아모스팜)</t>
  </si>
  <si>
    <t>901479</t>
  </si>
  <si>
    <t>아주아미카신주500mg 10A (베트남)</t>
  </si>
  <si>
    <t>부서명</t>
  </si>
  <si>
    <t>함량</t>
  </si>
  <si>
    <t>제조번호</t>
  </si>
  <si>
    <t>제품코드</t>
  </si>
  <si>
    <t>제품명</t>
  </si>
  <si>
    <t>오더번호</t>
  </si>
  <si>
    <t>공정</t>
  </si>
  <si>
    <t>설비명</t>
  </si>
  <si>
    <t>지시수량</t>
  </si>
  <si>
    <t>고형제 제조1팀</t>
  </si>
  <si>
    <t>아나탄정 8MG</t>
  </si>
  <si>
    <t>A002881</t>
  </si>
  <si>
    <t>1015326</t>
  </si>
  <si>
    <t>타정실2(JCM31)</t>
  </si>
  <si>
    <t>A002951</t>
  </si>
  <si>
    <t>1015589</t>
  </si>
  <si>
    <t>A002952</t>
  </si>
  <si>
    <t>1015590</t>
  </si>
  <si>
    <t>A002880</t>
  </si>
  <si>
    <t>1015325</t>
  </si>
  <si>
    <t>자동정제캡슐선별기</t>
  </si>
  <si>
    <t>아나모틴정 5MG</t>
  </si>
  <si>
    <t>A002792</t>
  </si>
  <si>
    <t>1014907</t>
  </si>
  <si>
    <t>자동정제선별기</t>
  </si>
  <si>
    <t>아펜탈정 100MG</t>
  </si>
  <si>
    <t>A002979</t>
  </si>
  <si>
    <t>1015698</t>
  </si>
  <si>
    <t>하이스피드믹서2</t>
  </si>
  <si>
    <t>A002980</t>
  </si>
  <si>
    <t>1015699</t>
  </si>
  <si>
    <t>IBC혼합기2</t>
  </si>
  <si>
    <t>A002865</t>
  </si>
  <si>
    <t>1015217</t>
  </si>
  <si>
    <t>타정실8(XT600-1호기)</t>
  </si>
  <si>
    <t>A002866</t>
  </si>
  <si>
    <t>1015218</t>
  </si>
  <si>
    <t>A002901</t>
  </si>
  <si>
    <t>1015426</t>
  </si>
  <si>
    <t>A002902</t>
  </si>
  <si>
    <t>1015427</t>
  </si>
  <si>
    <t>자동당의코팅기1</t>
  </si>
  <si>
    <t>정제인쇄기</t>
  </si>
  <si>
    <t>레이저 인쇄선별기</t>
  </si>
  <si>
    <t>안탁스캡슐 180MG</t>
  </si>
  <si>
    <t>A002910</t>
  </si>
  <si>
    <t>1015460</t>
  </si>
  <si>
    <t>캡슐충전기2</t>
  </si>
  <si>
    <t>A002911</t>
  </si>
  <si>
    <t>1015461</t>
  </si>
  <si>
    <t>캡슐질량선별기1</t>
  </si>
  <si>
    <t>아나탄정 16MG</t>
  </si>
  <si>
    <t>A002878</t>
  </si>
  <si>
    <t>1015323</t>
  </si>
  <si>
    <t>A002879</t>
  </si>
  <si>
    <t>1015324</t>
  </si>
  <si>
    <t>A002953</t>
  </si>
  <si>
    <t>1015591</t>
  </si>
  <si>
    <t>A002954</t>
  </si>
  <si>
    <t>1015592</t>
  </si>
  <si>
    <t>보믹캡슐 7.5MG</t>
  </si>
  <si>
    <t>A002857</t>
  </si>
  <si>
    <t>1015192</t>
  </si>
  <si>
    <t>A002858</t>
  </si>
  <si>
    <t>1015193</t>
  </si>
  <si>
    <t>아주브론정 12.5MG</t>
  </si>
  <si>
    <t>A002869</t>
  </si>
  <si>
    <t>1015263</t>
  </si>
  <si>
    <t>A002870</t>
  </si>
  <si>
    <t>1015264</t>
  </si>
  <si>
    <t>브롱코박솜 40MG</t>
  </si>
  <si>
    <t>A002960</t>
  </si>
  <si>
    <t>1015615</t>
  </si>
  <si>
    <t>A002959</t>
  </si>
  <si>
    <t>1015614</t>
  </si>
  <si>
    <t>크레트롤정 10/10MG</t>
  </si>
  <si>
    <t>A002962</t>
  </si>
  <si>
    <t>1015617</t>
  </si>
  <si>
    <t>하이스피드믹서1</t>
  </si>
  <si>
    <t>A002963</t>
  </si>
  <si>
    <t>1015618</t>
  </si>
  <si>
    <t>A002964</t>
  </si>
  <si>
    <t>1015619</t>
  </si>
  <si>
    <t>A002969</t>
  </si>
  <si>
    <t>1015649</t>
  </si>
  <si>
    <t>A002970</t>
  </si>
  <si>
    <t>1015650</t>
  </si>
  <si>
    <t>A002971</t>
  </si>
  <si>
    <t>1015673</t>
  </si>
  <si>
    <t>타정실6(HATA1호기)</t>
  </si>
  <si>
    <t>A002927</t>
  </si>
  <si>
    <t>1015510</t>
  </si>
  <si>
    <t>A002928</t>
  </si>
  <si>
    <t>1015511</t>
  </si>
  <si>
    <t>엑손정 50MG</t>
  </si>
  <si>
    <t>A002912</t>
  </si>
  <si>
    <t>1015465</t>
  </si>
  <si>
    <t>자동당의기2</t>
  </si>
  <si>
    <t>A002922</t>
  </si>
  <si>
    <t>1015477</t>
  </si>
  <si>
    <t>A002923</t>
  </si>
  <si>
    <t>1015478</t>
  </si>
  <si>
    <t>A002924</t>
  </si>
  <si>
    <t>1015479</t>
  </si>
  <si>
    <t>A002835</t>
  </si>
  <si>
    <t>1015100</t>
  </si>
  <si>
    <t>오메프라졸캡슐 20MG</t>
  </si>
  <si>
    <t>A002958</t>
  </si>
  <si>
    <t>1015600</t>
  </si>
  <si>
    <t>크레트롤정 10/5MG</t>
  </si>
  <si>
    <t>A002973</t>
  </si>
  <si>
    <t>1015674</t>
  </si>
  <si>
    <t>A002976</t>
  </si>
  <si>
    <t>1015690</t>
  </si>
  <si>
    <t>A002977</t>
  </si>
  <si>
    <t>1015691</t>
  </si>
  <si>
    <t>A002920</t>
  </si>
  <si>
    <t>1015475</t>
  </si>
  <si>
    <t>A002921</t>
  </si>
  <si>
    <t>1015476</t>
  </si>
  <si>
    <t>크레트롤정 10/20MG</t>
  </si>
  <si>
    <t>A002931</t>
  </si>
  <si>
    <t>1015527</t>
  </si>
  <si>
    <t>A002932</t>
  </si>
  <si>
    <t>1015528</t>
  </si>
  <si>
    <t>소형코팅기</t>
  </si>
  <si>
    <t>엑손SR정 75MG</t>
  </si>
  <si>
    <t>A002933</t>
  </si>
  <si>
    <t>1015529</t>
  </si>
  <si>
    <t>타정실1(HATA2호기)</t>
  </si>
  <si>
    <t>A002934</t>
  </si>
  <si>
    <t>1015530</t>
  </si>
  <si>
    <t>A002935</t>
  </si>
  <si>
    <t>1015531</t>
  </si>
  <si>
    <t>A002936</t>
  </si>
  <si>
    <t>1015532</t>
  </si>
  <si>
    <t>자동당의코팅기2</t>
  </si>
  <si>
    <t>A002891</t>
  </si>
  <si>
    <t>1015349</t>
  </si>
  <si>
    <t>A002889</t>
  </si>
  <si>
    <t>1015347</t>
  </si>
  <si>
    <t>A002890</t>
  </si>
  <si>
    <t>1015348</t>
  </si>
  <si>
    <t>오미탄정 25MG</t>
  </si>
  <si>
    <t>A002904</t>
  </si>
  <si>
    <t>1015433</t>
  </si>
  <si>
    <t>A002905</t>
  </si>
  <si>
    <t>1015434</t>
  </si>
  <si>
    <t>트로돈캡슐 50MG</t>
  </si>
  <si>
    <t>A002876</t>
  </si>
  <si>
    <t>1015321</t>
  </si>
  <si>
    <t>A002877</t>
  </si>
  <si>
    <t>1015322</t>
  </si>
  <si>
    <t>유로박솜캡슐 60MG</t>
  </si>
  <si>
    <t>A002955</t>
  </si>
  <si>
    <t>1015597</t>
  </si>
  <si>
    <t>A002956</t>
  </si>
  <si>
    <t>1015598</t>
  </si>
  <si>
    <t>A002957</t>
  </si>
  <si>
    <t>1015599</t>
  </si>
  <si>
    <t>A002839</t>
  </si>
  <si>
    <t>1015106</t>
  </si>
  <si>
    <t>A002840</t>
  </si>
  <si>
    <t>1015107</t>
  </si>
  <si>
    <t>제로시드 20/1100</t>
  </si>
  <si>
    <t>A002909</t>
  </si>
  <si>
    <t>1015459</t>
  </si>
  <si>
    <t>타정실3(HT45)</t>
  </si>
  <si>
    <t>A002908</t>
  </si>
  <si>
    <t>1015458</t>
  </si>
  <si>
    <t>정장생캡슐 250MG</t>
  </si>
  <si>
    <t>A002836</t>
  </si>
  <si>
    <t>1015101</t>
  </si>
  <si>
    <t>A002837</t>
  </si>
  <si>
    <t>1015102</t>
  </si>
  <si>
    <t>A002838</t>
  </si>
  <si>
    <t>1015103</t>
  </si>
  <si>
    <t>아나솔정 4MG</t>
  </si>
  <si>
    <t>A002939</t>
  </si>
  <si>
    <t>1015556</t>
  </si>
  <si>
    <t>아나빅스정 75MG</t>
  </si>
  <si>
    <t>A002882</t>
  </si>
  <si>
    <t>1015334</t>
  </si>
  <si>
    <t>A002883</t>
  </si>
  <si>
    <t>1015335</t>
  </si>
  <si>
    <t>A002884</t>
  </si>
  <si>
    <t>1015336</t>
  </si>
  <si>
    <t>4000107</t>
  </si>
  <si>
    <t>1015512</t>
  </si>
  <si>
    <t>E00300</t>
  </si>
  <si>
    <t>1015651</t>
  </si>
  <si>
    <t>IBC혼합기1</t>
  </si>
  <si>
    <t>1015693</t>
  </si>
  <si>
    <t>KG003</t>
  </si>
  <si>
    <t>1015425</t>
  </si>
  <si>
    <t>KG002</t>
  </si>
  <si>
    <t>1015141</t>
  </si>
  <si>
    <t>25EPS0006</t>
  </si>
  <si>
    <t>1015333</t>
  </si>
  <si>
    <t>25EP5010</t>
  </si>
  <si>
    <t>1015464</t>
  </si>
  <si>
    <t>25EP5009</t>
  </si>
  <si>
    <t>1015463</t>
  </si>
  <si>
    <t>25017</t>
  </si>
  <si>
    <t>1015553</t>
  </si>
  <si>
    <t>타정실5(HT-38)</t>
  </si>
  <si>
    <t>25018</t>
  </si>
  <si>
    <t>1015554</t>
  </si>
  <si>
    <t>25019</t>
  </si>
  <si>
    <t>1015555</t>
  </si>
  <si>
    <t>25001</t>
  </si>
  <si>
    <t>1015513</t>
  </si>
  <si>
    <t>AP001</t>
  </si>
  <si>
    <t>1015588</t>
  </si>
  <si>
    <t>KI001</t>
  </si>
  <si>
    <t>1015585</t>
  </si>
  <si>
    <t>TES12501</t>
  </si>
  <si>
    <t>1015587</t>
  </si>
  <si>
    <t>1015105</t>
  </si>
  <si>
    <t>92506</t>
  </si>
  <si>
    <t>1015104</t>
  </si>
  <si>
    <t>25004</t>
  </si>
  <si>
    <t>1014976</t>
  </si>
  <si>
    <t>25005</t>
  </si>
  <si>
    <t>1015041</t>
  </si>
  <si>
    <t>25006</t>
  </si>
  <si>
    <t>1015048</t>
  </si>
  <si>
    <t>다파릴정 10MG</t>
  </si>
  <si>
    <t>A002809</t>
  </si>
  <si>
    <t>1015038</t>
  </si>
  <si>
    <t>A002851</t>
  </si>
  <si>
    <t>1015175</t>
  </si>
  <si>
    <t>A002852</t>
  </si>
  <si>
    <t>1015176</t>
  </si>
  <si>
    <t>A002853</t>
  </si>
  <si>
    <t>1015177</t>
  </si>
  <si>
    <t>A002859</t>
  </si>
  <si>
    <t>1015200</t>
  </si>
  <si>
    <t>A002860</t>
  </si>
  <si>
    <t>1015201</t>
  </si>
  <si>
    <t>A002808</t>
  </si>
  <si>
    <t>1015037</t>
  </si>
  <si>
    <t>다파릴정 5MG</t>
  </si>
  <si>
    <t>A002867</t>
  </si>
  <si>
    <t>1015261</t>
  </si>
  <si>
    <t>A002868</t>
  </si>
  <si>
    <t>1015262</t>
  </si>
  <si>
    <t>고형제 제조2팀</t>
  </si>
  <si>
    <t>도베셀정 500MG</t>
  </si>
  <si>
    <t>A002937</t>
  </si>
  <si>
    <t>1015551</t>
  </si>
  <si>
    <t>(2동)하이스피드믹서</t>
  </si>
  <si>
    <t>A002938</t>
  </si>
  <si>
    <t>1015552</t>
  </si>
  <si>
    <t>A002949</t>
  </si>
  <si>
    <t>1015583</t>
  </si>
  <si>
    <t>A002950</t>
  </si>
  <si>
    <t>1015584</t>
  </si>
  <si>
    <t>(2동)IBC혼합기</t>
  </si>
  <si>
    <t>A002930</t>
  </si>
  <si>
    <t>1015526</t>
  </si>
  <si>
    <t>(2동)타정기1(XT600단일정)</t>
  </si>
  <si>
    <t>A002926</t>
  </si>
  <si>
    <t>1015509</t>
  </si>
  <si>
    <t>(2동)레이저인쇄선별기</t>
  </si>
  <si>
    <t>A002929</t>
  </si>
  <si>
    <t>1015525</t>
  </si>
  <si>
    <t>A002871</t>
  </si>
  <si>
    <t>1015377</t>
  </si>
  <si>
    <t>A002872</t>
  </si>
  <si>
    <t>1015378</t>
  </si>
  <si>
    <t>A002873</t>
  </si>
  <si>
    <t>1015413</t>
  </si>
  <si>
    <t>A002874</t>
  </si>
  <si>
    <t>1015414</t>
  </si>
  <si>
    <t>A002875</t>
  </si>
  <si>
    <t>1015415</t>
  </si>
  <si>
    <t>다파릴듀오서방정10/1000MG</t>
  </si>
  <si>
    <t>A002967</t>
  </si>
  <si>
    <t>1015647</t>
  </si>
  <si>
    <t>A002961</t>
  </si>
  <si>
    <t>1015616</t>
  </si>
  <si>
    <t>(2동)타정기2(XT600이층정)</t>
  </si>
  <si>
    <t>A002965</t>
  </si>
  <si>
    <t>1015622</t>
  </si>
  <si>
    <t>(2동)자동코팅기</t>
  </si>
  <si>
    <t>다파릴듀오서방정10/500MG</t>
  </si>
  <si>
    <t>A002968</t>
  </si>
  <si>
    <t>1015648</t>
  </si>
  <si>
    <t>1161034</t>
  </si>
  <si>
    <t>1015596</t>
  </si>
  <si>
    <t>1161033</t>
  </si>
  <si>
    <t>1015595</t>
  </si>
  <si>
    <t>1162019</t>
  </si>
  <si>
    <t>1015671</t>
  </si>
  <si>
    <t>1162020</t>
  </si>
  <si>
    <t>1015672</t>
  </si>
  <si>
    <t>아펙손정</t>
  </si>
  <si>
    <t>A002972</t>
  </si>
  <si>
    <t>1015662</t>
  </si>
  <si>
    <t>분쇄정립기1</t>
  </si>
  <si>
    <t>A002974</t>
  </si>
  <si>
    <t>1015676</t>
  </si>
  <si>
    <t>A002975</t>
  </si>
  <si>
    <t>1015677</t>
  </si>
  <si>
    <t>롤러콤팩터</t>
  </si>
  <si>
    <t>5032</t>
  </si>
  <si>
    <t>1015697</t>
  </si>
  <si>
    <t>5030</t>
  </si>
  <si>
    <t>1015401</t>
  </si>
  <si>
    <t>타정기7(XT600-2호기)</t>
  </si>
  <si>
    <t>5031</t>
  </si>
  <si>
    <t>1015402</t>
  </si>
  <si>
    <t>5027</t>
  </si>
  <si>
    <t>1015216</t>
  </si>
  <si>
    <t>5028</t>
  </si>
  <si>
    <t>1015385</t>
  </si>
  <si>
    <t>5029</t>
  </si>
  <si>
    <t>1015386</t>
  </si>
  <si>
    <t>5023</t>
  </si>
  <si>
    <t>1015209</t>
  </si>
  <si>
    <t>5024</t>
  </si>
  <si>
    <t>1015210</t>
  </si>
  <si>
    <t>5025</t>
  </si>
  <si>
    <t>1015214</t>
  </si>
  <si>
    <t>5026</t>
  </si>
  <si>
    <t>1015215</t>
  </si>
  <si>
    <t>25032</t>
  </si>
  <si>
    <t>1015436</t>
  </si>
  <si>
    <t>25029</t>
  </si>
  <si>
    <t>1015428</t>
  </si>
  <si>
    <t>25030</t>
  </si>
  <si>
    <t>1015429</t>
  </si>
  <si>
    <t>25031</t>
  </si>
  <si>
    <t>1015435</t>
  </si>
  <si>
    <t>25003</t>
  </si>
  <si>
    <t>1015654</t>
  </si>
  <si>
    <t>1015655</t>
  </si>
  <si>
    <t>AR08AA</t>
  </si>
  <si>
    <t>1015696</t>
  </si>
  <si>
    <t>1164047</t>
  </si>
  <si>
    <t>1014951</t>
  </si>
  <si>
    <t>1164048</t>
  </si>
  <si>
    <t>1014952</t>
  </si>
  <si>
    <t>1164049</t>
  </si>
  <si>
    <t>1014953</t>
  </si>
  <si>
    <t>R25001</t>
  </si>
  <si>
    <t>1015203</t>
  </si>
  <si>
    <t>25EP7003</t>
  </si>
  <si>
    <t>1015278</t>
  </si>
  <si>
    <t>25EP7004</t>
  </si>
  <si>
    <t>1015332</t>
  </si>
  <si>
    <t>1163016</t>
  </si>
  <si>
    <t>1015211</t>
  </si>
  <si>
    <t>1163017</t>
  </si>
  <si>
    <t>1015212</t>
  </si>
  <si>
    <t>1163018</t>
  </si>
  <si>
    <t>1015213</t>
  </si>
  <si>
    <t>1015260</t>
  </si>
  <si>
    <t>다파리나정</t>
  </si>
  <si>
    <t>A002900</t>
  </si>
  <si>
    <t>1015412</t>
  </si>
  <si>
    <t>E00100</t>
  </si>
  <si>
    <t>1015411</t>
  </si>
  <si>
    <t>주사제 제조팀</t>
  </si>
  <si>
    <t>AYP-101(2.5%)</t>
  </si>
  <si>
    <t>1015320</t>
  </si>
  <si>
    <t>자동이물검사기_액상바이알</t>
  </si>
  <si>
    <t>고형제 포장1팀</t>
  </si>
  <si>
    <t>1015628</t>
  </si>
  <si>
    <t>자동계수기2</t>
  </si>
  <si>
    <t>고형제 라벨러2</t>
  </si>
  <si>
    <t>A002813</t>
  </si>
  <si>
    <t>1015664</t>
  </si>
  <si>
    <t>자동계수기3</t>
  </si>
  <si>
    <t>A002814</t>
  </si>
  <si>
    <t>1015665</t>
  </si>
  <si>
    <t>고형제 라벨러3</t>
  </si>
  <si>
    <t>주사제1ML</t>
  </si>
  <si>
    <t>A002943</t>
  </si>
  <si>
    <t>1015564</t>
  </si>
  <si>
    <t>B존 조제탱크</t>
  </si>
  <si>
    <t>A002944</t>
  </si>
  <si>
    <t>1015565</t>
  </si>
  <si>
    <t>A002945</t>
  </si>
  <si>
    <t>1015566</t>
  </si>
  <si>
    <t>A002946</t>
  </si>
  <si>
    <t>1015567</t>
  </si>
  <si>
    <t>B존 앰플세척기</t>
  </si>
  <si>
    <t>A002942</t>
  </si>
  <si>
    <t>1015563</t>
  </si>
  <si>
    <t>B존 앰플충전기</t>
  </si>
  <si>
    <t>제품멸균기</t>
  </si>
  <si>
    <t>A002941</t>
  </si>
  <si>
    <t>1015562</t>
  </si>
  <si>
    <t>자동이물검사기_에이자이</t>
  </si>
  <si>
    <t>주사제 포장팀</t>
  </si>
  <si>
    <t>기밀도 및 라벨러Ⅱ</t>
  </si>
  <si>
    <t>A002915</t>
  </si>
  <si>
    <t>1015470</t>
  </si>
  <si>
    <t>앰플PTP포장기Ⅱ</t>
  </si>
  <si>
    <t>A002916</t>
  </si>
  <si>
    <t>1015471</t>
  </si>
  <si>
    <t>A002917</t>
  </si>
  <si>
    <t>1015472</t>
  </si>
  <si>
    <t>앰플PTP포장기Ⅰ</t>
  </si>
  <si>
    <t>A002918</t>
  </si>
  <si>
    <t>1015473</t>
  </si>
  <si>
    <t>A002940</t>
  </si>
  <si>
    <t>1015561</t>
  </si>
  <si>
    <t>앰플카토너Ⅱ</t>
  </si>
  <si>
    <t>앰플카토너Ⅰ</t>
  </si>
  <si>
    <t>주사제5ML</t>
  </si>
  <si>
    <t>A002919</t>
  </si>
  <si>
    <t>1015474</t>
  </si>
  <si>
    <t>기밀도 및 라벨러Ⅰ</t>
  </si>
  <si>
    <t>102501</t>
  </si>
  <si>
    <t>1015708</t>
  </si>
  <si>
    <t>92502</t>
  </si>
  <si>
    <t>1015705</t>
  </si>
  <si>
    <t>112502</t>
  </si>
  <si>
    <t>1015706</t>
  </si>
  <si>
    <t>122502</t>
  </si>
  <si>
    <t>1015707</t>
  </si>
  <si>
    <t>25008</t>
  </si>
  <si>
    <t>1015640</t>
  </si>
  <si>
    <t>25035</t>
  </si>
  <si>
    <t>1015700</t>
  </si>
  <si>
    <t>25036</t>
  </si>
  <si>
    <t>1015701</t>
  </si>
  <si>
    <t>25037</t>
  </si>
  <si>
    <t>1015702</t>
  </si>
  <si>
    <t>25038</t>
  </si>
  <si>
    <t>1015703</t>
  </si>
  <si>
    <t>25039</t>
  </si>
  <si>
    <t>1015704</t>
  </si>
  <si>
    <t>분말바이알1G</t>
  </si>
  <si>
    <t>25103</t>
  </si>
  <si>
    <t>1015283</t>
  </si>
  <si>
    <t>바이알 세척기(분말)</t>
  </si>
  <si>
    <t>바이알충전기(분말)</t>
  </si>
  <si>
    <t>바이알비전검사기</t>
  </si>
  <si>
    <t>바이알라벨러</t>
  </si>
  <si>
    <t>바이알카토너</t>
  </si>
  <si>
    <t>주사제2ML</t>
  </si>
  <si>
    <t>25013</t>
  </si>
  <si>
    <t>1015612</t>
  </si>
  <si>
    <t>A존 조제탱크</t>
  </si>
  <si>
    <t>25014</t>
  </si>
  <si>
    <t>1015613</t>
  </si>
  <si>
    <t>25015</t>
  </si>
  <si>
    <t>1015684</t>
  </si>
  <si>
    <t>A존 앰플세척기</t>
  </si>
  <si>
    <t>A존 앰플충전기</t>
  </si>
  <si>
    <t>25011</t>
  </si>
  <si>
    <t>1015467</t>
  </si>
  <si>
    <t>25012</t>
  </si>
  <si>
    <t>1015611</t>
  </si>
  <si>
    <t>25007</t>
  </si>
  <si>
    <t>1015679</t>
  </si>
  <si>
    <t>1015680</t>
  </si>
  <si>
    <t>주사제6ML</t>
  </si>
  <si>
    <t>25072</t>
  </si>
  <si>
    <t>1015501</t>
  </si>
  <si>
    <t>25073</t>
  </si>
  <si>
    <t>1015502</t>
  </si>
  <si>
    <t>25074</t>
  </si>
  <si>
    <t>1015503</t>
  </si>
  <si>
    <t>25075</t>
  </si>
  <si>
    <t>1015504</t>
  </si>
  <si>
    <t>25076</t>
  </si>
  <si>
    <t>1015505</t>
  </si>
  <si>
    <t>25077</t>
  </si>
  <si>
    <t>1015506</t>
  </si>
  <si>
    <t>25078</t>
  </si>
  <si>
    <t>1015507</t>
  </si>
  <si>
    <t>자동이물검사기_보쉬</t>
  </si>
  <si>
    <t>주사제10ML</t>
  </si>
  <si>
    <t>25034</t>
  </si>
  <si>
    <t>1015570</t>
  </si>
  <si>
    <t>1015571</t>
  </si>
  <si>
    <t>1015572</t>
  </si>
  <si>
    <t>1015542</t>
  </si>
  <si>
    <t>1015543</t>
  </si>
  <si>
    <t>25033</t>
  </si>
  <si>
    <t>1015544</t>
  </si>
  <si>
    <t>25101</t>
  </si>
  <si>
    <t>1015295</t>
  </si>
  <si>
    <t>R25006</t>
  </si>
  <si>
    <t>1013654</t>
  </si>
  <si>
    <t>25002</t>
  </si>
  <si>
    <t>1015602</t>
  </si>
  <si>
    <t>50142514</t>
  </si>
  <si>
    <t>1015653</t>
  </si>
  <si>
    <t>50142513</t>
  </si>
  <si>
    <t>1015652</t>
  </si>
  <si>
    <t>액상바이알</t>
  </si>
  <si>
    <t>CVI2509</t>
  </si>
  <si>
    <t>1015376</t>
  </si>
  <si>
    <t>액상바이알 조제탱크</t>
  </si>
  <si>
    <t>바이알세척기(액상)</t>
  </si>
  <si>
    <t>CVI2508</t>
  </si>
  <si>
    <t>1015375</t>
  </si>
  <si>
    <t>바이알충전기(액상)</t>
  </si>
  <si>
    <t>CVI2507</t>
  </si>
  <si>
    <t>1015374</t>
  </si>
  <si>
    <t>고형제 포장2팀</t>
  </si>
  <si>
    <t>A002885</t>
  </si>
  <si>
    <t>1015668</t>
  </si>
  <si>
    <t>(2동)자동PTP포장기</t>
  </si>
  <si>
    <t>A002886</t>
  </si>
  <si>
    <t>1015669</t>
  </si>
  <si>
    <t>A002895</t>
  </si>
  <si>
    <t>1015670</t>
  </si>
  <si>
    <t>(2동)자동카토너</t>
  </si>
  <si>
    <t>A002046</t>
  </si>
  <si>
    <t>1011665</t>
  </si>
  <si>
    <t>A002047</t>
  </si>
  <si>
    <t>1011666</t>
  </si>
  <si>
    <t>A002048</t>
  </si>
  <si>
    <t>1011667</t>
  </si>
  <si>
    <t>25102</t>
  </si>
  <si>
    <t>1015282</t>
  </si>
  <si>
    <t>25006A</t>
  </si>
  <si>
    <t>1015661</t>
  </si>
  <si>
    <t>25005A</t>
  </si>
  <si>
    <t>1015660</t>
  </si>
  <si>
    <t>주사제 수동포장</t>
  </si>
  <si>
    <t>MFT-10A 01504</t>
  </si>
  <si>
    <t>MEDIAFILTEST</t>
  </si>
  <si>
    <t>앰플주사제 A라인 메디아필테스트</t>
  </si>
  <si>
    <t>250411002</t>
  </si>
  <si>
    <t>아주아미카신주500MG</t>
  </si>
  <si>
    <t>A002807</t>
  </si>
  <si>
    <t>1015431</t>
  </si>
  <si>
    <t>지시량합</t>
  </si>
  <si>
    <t>주사제</t>
  </si>
  <si>
    <t>우선순위</t>
    <phoneticPr fontId="3" type="noConversion"/>
  </si>
  <si>
    <t>Grand Total</t>
  </si>
  <si>
    <t>1Day</t>
    <phoneticPr fontId="3" type="noConversion"/>
  </si>
  <si>
    <t>2Day</t>
    <phoneticPr fontId="3" type="noConversion"/>
  </si>
  <si>
    <t>3Day</t>
  </si>
  <si>
    <t>4Day</t>
  </si>
  <si>
    <t>5Day</t>
  </si>
  <si>
    <t>6Day</t>
  </si>
  <si>
    <t>7Day</t>
  </si>
  <si>
    <t>8Day</t>
  </si>
  <si>
    <t>9Day</t>
  </si>
  <si>
    <t>10Day</t>
  </si>
  <si>
    <t>11Day</t>
  </si>
  <si>
    <t>12Day</t>
  </si>
  <si>
    <t>우선순위</t>
  </si>
  <si>
    <t>보여줄값</t>
  </si>
  <si>
    <t>보여줄값</t>
    <phoneticPr fontId="3" type="noConversion"/>
  </si>
  <si>
    <t>다파릴듀오서방정10/1000mg 반제품
1015647
A002967
200000</t>
  </si>
  <si>
    <t>폴민다파서방정10/500mg 반제품 (녹십자)
1015671
1162019
300000</t>
  </si>
  <si>
    <t>폴민다파서방정10/500mg 반제품 (녹십자)
1015672
1162020
300000</t>
  </si>
  <si>
    <t>다파릴듀오서방정10/500mg 반제품
1015648
A002968
300000</t>
  </si>
  <si>
    <t>크레트롤정10/10MG 반제품
1015617
A002962
600000</t>
  </si>
  <si>
    <t>크레트롤정10/10MG 반제품
1015618
A002963
600000</t>
  </si>
  <si>
    <t>크레트롤정10/10MG 반제품
1015619
A002964
600000</t>
  </si>
  <si>
    <t>크레트롤정10/10MG 반제품
1015649
A002969
600000</t>
  </si>
  <si>
    <t>크레트롤정10/10MG 반제품
1015650
A002970
600000</t>
  </si>
  <si>
    <t>크레트롤정10/10MG 반제품
1015673
A002971
600000</t>
  </si>
  <si>
    <t>이지산트정10/10MG 반제품 (보령)
1015651
E00300
600000</t>
  </si>
  <si>
    <t>크레트롤정10/5MG 반제품
1015674
A002973
1000000</t>
  </si>
  <si>
    <t>크레트롤정10/5MG 반제품
1015690
A002976
1000000</t>
  </si>
  <si>
    <t>크레트롤정10/5MG 반제품
1015691
A002977
1000000</t>
  </si>
  <si>
    <t>이지산트정10/5MG 반제품 (보령)
1015693
E00300
1000000</t>
  </si>
  <si>
    <t>소요시간(H)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</si>
</sst>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theme="1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3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 indent="2"/>
    </xf>
    <xf numFmtId="0" fontId="2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4"/>
    </xf>
    <xf numFmtId="0" fontId="4" fillId="3" borderId="0" xfId="0" applyFont="1" applyFill="1">
      <alignment vertical="center"/>
    </xf>
    <xf numFmtId="0" fontId="4" fillId="3" borderId="0" xfId="0" applyFont="1" applyFill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표준" xfId="0" builtinId="0"/>
  </cellStyles>
  <dxfs count="12">
    <dxf>
      <numFmt numFmtId="0" formatCode="General"/>
    </dxf>
    <dxf>
      <numFmt numFmtId="0" formatCode="General"/>
    </dxf>
    <dxf>
      <numFmt numFmtId="0" formatCode="General"/>
      <alignment horizontal="general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GKim" refreshedDate="45905.550635069441" createdVersion="8" refreshedVersion="8" minRefreshableVersion="3" recordCount="1053">
  <cacheSource type="worksheet">
    <worksheetSource name="Merge1"/>
  </cacheSource>
  <cacheFields count="13">
    <cacheField name="부서명" numFmtId="0">
      <sharedItems count="6">
        <s v="고형제 제조1팀"/>
        <s v="고형제 제조2팀"/>
        <s v="고형제 포장1팀"/>
        <s v="고형제 포장2팀"/>
        <s v="주사제 제조팀"/>
        <s v="주사제 포장팀"/>
      </sharedItems>
    </cacheField>
    <cacheField name="함량" numFmtId="0">
      <sharedItems containsBlank="1"/>
    </cacheField>
    <cacheField name="제조번호" numFmtId="0">
      <sharedItems count="205">
        <s v="A002900"/>
        <s v="E00100"/>
        <s v="A002967"/>
        <s v="1162019"/>
        <s v="1162020"/>
        <s v="A002968"/>
        <s v="1164047"/>
        <s v="1164048"/>
        <s v="1164049"/>
        <s v="A002809"/>
        <s v="A002851"/>
        <s v="A002852"/>
        <s v="A002853"/>
        <s v="A002859"/>
        <s v="A002860"/>
        <s v="A002808"/>
        <s v="R25001"/>
        <s v="1163016"/>
        <s v="1163017"/>
        <s v="1163018"/>
        <s v="25001"/>
        <s v="A002867"/>
        <s v="A002868"/>
        <s v="A002857"/>
        <s v="A002858"/>
        <s v="A002960"/>
        <s v="A002959"/>
        <s v="A002792"/>
        <s v="A002882"/>
        <s v="A002883"/>
        <s v="A002884"/>
        <s v="A002939"/>
        <s v="A002878"/>
        <s v="A002879"/>
        <s v="A002953"/>
        <s v="A002954"/>
        <s v="A002881"/>
        <s v="A002951"/>
        <s v="A002952"/>
        <s v="A002880"/>
        <s v="A002869"/>
        <s v="A002870"/>
        <s v="25003"/>
        <s v="25004"/>
        <s v="25032"/>
        <s v="25029"/>
        <s v="25030"/>
        <s v="25031"/>
        <s v="5032"/>
        <s v="5030"/>
        <s v="5031"/>
        <s v="5027"/>
        <s v="5028"/>
        <s v="5029"/>
        <s v="5023"/>
        <s v="5024"/>
        <s v="5025"/>
        <s v="5026"/>
        <s v="A002972"/>
        <s v="A002974"/>
        <s v="A002975"/>
        <s v="AR08AA"/>
        <s v="A002979"/>
        <s v="A002980"/>
        <s v="A002865"/>
        <s v="A002866"/>
        <s v="A002901"/>
        <s v="A002902"/>
        <s v="KG003"/>
        <s v="A002910"/>
        <s v="A002911"/>
        <s v="25017"/>
        <s v="25018"/>
        <s v="25019"/>
        <s v="25EP7003"/>
        <s v="25EP7004"/>
        <s v="25EPS0006"/>
        <s v="A002933"/>
        <s v="A002934"/>
        <s v="A002935"/>
        <s v="A002936"/>
        <s v="A002891"/>
        <s v="A002889"/>
        <s v="A002890"/>
        <s v="AP001"/>
        <s v="KI001"/>
        <s v="TES12501"/>
        <s v="92506"/>
        <s v="25EP5010"/>
        <s v="25EP5009"/>
        <s v="4000107"/>
        <s v="A002912"/>
        <s v="A002922"/>
        <s v="A002923"/>
        <s v="A002924"/>
        <s v="A002835"/>
        <s v="KG002"/>
        <s v="A002958"/>
        <s v="25005"/>
        <s v="25006"/>
        <s v="A002904"/>
        <s v="A002905"/>
        <s v="A002955"/>
        <s v="A002956"/>
        <s v="A002957"/>
        <s v="A002839"/>
        <s v="A002840"/>
        <s v="A002836"/>
        <s v="A002837"/>
        <s v="A002838"/>
        <s v="A002909"/>
        <s v="A002908"/>
        <s v="A002871"/>
        <s v="A002872"/>
        <s v="A002873"/>
        <s v="A002874"/>
        <s v="A002875"/>
        <s v="A002962"/>
        <s v="A002963"/>
        <s v="A002964"/>
        <s v="A002969"/>
        <s v="A002970"/>
        <s v="A002971"/>
        <s v="A002927"/>
        <s v="A002928"/>
        <s v="E00300"/>
        <s v="A002931"/>
        <s v="A002932"/>
        <s v="A002973"/>
        <s v="A002976"/>
        <s v="A002977"/>
        <s v="A002920"/>
        <s v="A002921"/>
        <s v="A002876"/>
        <s v="A002877"/>
        <s v="1161034"/>
        <s v="1161033"/>
        <s v="A002961"/>
        <s v="A002965"/>
        <s v="A002937"/>
        <s v="A002938"/>
        <s v="A002949"/>
        <s v="A002950"/>
        <s v="A002930"/>
        <s v="A002926"/>
        <s v="A002929"/>
        <s v="A002813"/>
        <s v="A002814"/>
        <s v="92502"/>
        <s v="112502"/>
        <s v="122502"/>
        <s v="102501"/>
        <s v="25008"/>
        <s v="25035"/>
        <s v="25036"/>
        <s v="25037"/>
        <s v="25038"/>
        <s v="25039"/>
        <s v="A002885"/>
        <s v="A002886"/>
        <s v="A002895"/>
        <s v="25103"/>
        <s v="25102"/>
        <s v="CVI2509"/>
        <s v="CVI2508"/>
        <s v="CVI2507"/>
        <s v="50142514"/>
        <s v="A002943"/>
        <s v="A002944"/>
        <s v="A002945"/>
        <s v="A002946"/>
        <s v="A002942"/>
        <s v="A002941"/>
        <s v="25006A"/>
        <s v="25013"/>
        <s v="25014"/>
        <s v="25015"/>
        <s v="R25006"/>
        <s v="25007"/>
        <s v="25101"/>
        <s v="A002919"/>
        <s v="25072"/>
        <s v="25073"/>
        <s v="25074"/>
        <s v="25075"/>
        <s v="25076"/>
        <s v="25077"/>
        <s v="25078"/>
        <s v="MFT-10A 01504"/>
        <s v="50142513"/>
        <s v="A002915"/>
        <s v="A002916"/>
        <s v="A002917"/>
        <s v="A002918"/>
        <s v="A002940"/>
        <s v="25005A"/>
        <s v="25011"/>
        <s v="25012"/>
        <s v="A002807"/>
        <s v="25034"/>
        <s v="25033"/>
        <s v="25002"/>
        <s v="A002046"/>
        <s v="A002047"/>
        <s v="A002048"/>
      </sharedItems>
    </cacheField>
    <cacheField name="제품코드" numFmtId="0">
      <sharedItems count="80">
        <s v="700525"/>
        <s v="700526"/>
        <s v="700403"/>
        <s v="700417"/>
        <s v="700404"/>
        <s v="700438"/>
        <s v="700367"/>
        <s v="700446"/>
        <s v="700452"/>
        <s v="700453"/>
        <s v="700374"/>
        <s v="700114"/>
        <s v="700117"/>
        <s v="700108"/>
        <s v="700163"/>
        <s v="700162"/>
        <s v="700113"/>
        <s v="700107"/>
        <s v="700115"/>
        <s v="700427"/>
        <s v="700426"/>
        <s v="700425"/>
        <s v="700423"/>
        <s v="700437"/>
        <s v="700110"/>
        <s v="700178"/>
        <s v="700112"/>
        <s v="700193"/>
        <s v="700451"/>
        <s v="700190"/>
        <s v="700132"/>
        <s v="700201"/>
        <s v="700221"/>
        <s v="700225"/>
        <s v="700252"/>
        <s v="700198"/>
        <s v="700212"/>
        <s v="700192"/>
        <s v="700170"/>
        <s v="700127"/>
        <s v="700180"/>
        <s v="700129"/>
        <s v="700270"/>
        <s v="700139"/>
        <s v="700148"/>
        <s v="700151"/>
        <s v="700150"/>
        <s v="700394"/>
        <s v="700125"/>
        <s v="700175"/>
        <s v="700131"/>
        <s v="700130"/>
        <s v="700176"/>
        <s v="700146"/>
        <s v="700416"/>
        <s v="700382"/>
        <s v="900209"/>
        <s v="900684"/>
        <s v="900683"/>
        <s v="900688"/>
        <s v="900694"/>
        <s v="900155"/>
        <s v="901030"/>
        <s v="700555"/>
        <s v="900817"/>
        <s v="900940"/>
        <s v="900870"/>
        <s v="900240"/>
        <s v="900989"/>
        <s v="900832"/>
        <s v="900846"/>
        <s v="900833"/>
        <s v="900839"/>
        <s v="900243"/>
        <s v="900835"/>
        <s v="MEDIAFILTEST"/>
        <s v="901479"/>
        <s v="900837"/>
        <s v="900857"/>
        <s v="901380"/>
      </sharedItems>
    </cacheField>
    <cacheField name="제품명" numFmtId="0">
      <sharedItems/>
    </cacheField>
    <cacheField name="오더번호" numFmtId="0">
      <sharedItems count="216">
        <s v="1015412"/>
        <s v="1015411"/>
        <s v="1015647"/>
        <s v="1015671"/>
        <s v="1015672"/>
        <s v="1015648"/>
        <s v="1014951"/>
        <s v="1014952"/>
        <s v="1014953"/>
        <s v="1015038"/>
        <s v="1015175"/>
        <s v="1015176"/>
        <s v="1015177"/>
        <s v="1015200"/>
        <s v="1015201"/>
        <s v="1015037"/>
        <s v="1015203"/>
        <s v="1015211"/>
        <s v="1015212"/>
        <s v="1015213"/>
        <s v="1015260"/>
        <s v="1015261"/>
        <s v="1015262"/>
        <s v="1015192"/>
        <s v="1015193"/>
        <s v="1015615"/>
        <s v="1015614"/>
        <s v="1014907"/>
        <s v="1015334"/>
        <s v="1015335"/>
        <s v="1015336"/>
        <s v="1015556"/>
        <s v="1015323"/>
        <s v="1015324"/>
        <s v="1015591"/>
        <s v="1015592"/>
        <s v="1015326"/>
        <s v="1015589"/>
        <s v="1015590"/>
        <s v="1015325"/>
        <s v="1015263"/>
        <s v="1015264"/>
        <s v="1015654"/>
        <s v="1015655"/>
        <s v="1015436"/>
        <s v="1015428"/>
        <s v="1015429"/>
        <s v="1015435"/>
        <s v="1015697"/>
        <s v="1015401"/>
        <s v="1015402"/>
        <s v="1015216"/>
        <s v="1015385"/>
        <s v="1015386"/>
        <s v="1015209"/>
        <s v="1015210"/>
        <s v="1015214"/>
        <s v="1015215"/>
        <s v="1015662"/>
        <s v="1015676"/>
        <s v="1015677"/>
        <s v="1015696"/>
        <s v="1015698"/>
        <s v="1015699"/>
        <s v="1015217"/>
        <s v="1015218"/>
        <s v="1015426"/>
        <s v="1015427"/>
        <s v="1015425"/>
        <s v="1015460"/>
        <s v="1015461"/>
        <s v="1015553"/>
        <s v="1015554"/>
        <s v="1015555"/>
        <s v="1015278"/>
        <s v="1015332"/>
        <s v="1015333"/>
        <s v="1015529"/>
        <s v="1015530"/>
        <s v="1015531"/>
        <s v="1015532"/>
        <s v="1015349"/>
        <s v="1015347"/>
        <s v="1015348"/>
        <s v="1015588"/>
        <s v="1015585"/>
        <s v="1015587"/>
        <s v="1015104"/>
        <s v="1015513"/>
        <s v="1015105"/>
        <s v="1015464"/>
        <s v="1015463"/>
        <s v="1015512"/>
        <s v="1015465"/>
        <s v="1015477"/>
        <s v="1015478"/>
        <s v="1015479"/>
        <s v="1015100"/>
        <s v="1015141"/>
        <s v="1015600"/>
        <s v="1014976"/>
        <s v="1015041"/>
        <s v="1015048"/>
        <s v="1015433"/>
        <s v="1015434"/>
        <s v="1015597"/>
        <s v="1015598"/>
        <s v="1015599"/>
        <s v="1015106"/>
        <s v="1015107"/>
        <s v="1015101"/>
        <s v="1015102"/>
        <s v="1015103"/>
        <s v="1015459"/>
        <s v="1015458"/>
        <s v="1015377"/>
        <s v="1015378"/>
        <s v="1015413"/>
        <s v="1015414"/>
        <s v="1015415"/>
        <s v="1015617"/>
        <s v="1015618"/>
        <s v="1015619"/>
        <s v="1015649"/>
        <s v="1015650"/>
        <s v="1015673"/>
        <s v="1015510"/>
        <s v="1015511"/>
        <s v="1015651"/>
        <s v="1015527"/>
        <s v="1015528"/>
        <s v="1015674"/>
        <s v="1015690"/>
        <s v="1015691"/>
        <s v="1015475"/>
        <s v="1015476"/>
        <s v="1015693"/>
        <s v="1015321"/>
        <s v="1015322"/>
        <s v="1015596"/>
        <s v="1015595"/>
        <s v="1015616"/>
        <s v="1015622"/>
        <s v="1015551"/>
        <s v="1015552"/>
        <s v="1015583"/>
        <s v="1015584"/>
        <s v="1015526"/>
        <s v="1015509"/>
        <s v="1015525"/>
        <s v="1015664"/>
        <s v="1015665"/>
        <s v="1015705"/>
        <s v="1015706"/>
        <s v="1015707"/>
        <s v="1015708"/>
        <s v="1015640"/>
        <s v="1015700"/>
        <s v="1015701"/>
        <s v="1015702"/>
        <s v="1015703"/>
        <s v="1015704"/>
        <s v="1015628"/>
        <s v="1015668"/>
        <s v="1015669"/>
        <s v="1015670"/>
        <s v="1015320"/>
        <s v="1015283"/>
        <s v="1015282"/>
        <s v="1015376"/>
        <s v="1015375"/>
        <s v="1015374"/>
        <s v="1015653"/>
        <s v="1015564"/>
        <s v="1015565"/>
        <s v="1015566"/>
        <s v="1015567"/>
        <s v="1015563"/>
        <s v="1015562"/>
        <s v="1015661"/>
        <s v="1015612"/>
        <s v="1015613"/>
        <s v="1015684"/>
        <s v="1013654"/>
        <s v="1015679"/>
        <s v="1015680"/>
        <s v="1015295"/>
        <s v="1015474"/>
        <s v="1015501"/>
        <s v="1015502"/>
        <s v="1015503"/>
        <s v="1015504"/>
        <s v="1015505"/>
        <s v="1015506"/>
        <s v="1015507"/>
        <s v="250411002"/>
        <s v="1015652"/>
        <s v="1015470"/>
        <s v="1015471"/>
        <s v="1015472"/>
        <s v="1015473"/>
        <s v="1015561"/>
        <s v="1015660"/>
        <s v="1015467"/>
        <s v="1015611"/>
        <s v="1015431"/>
        <s v="1015570"/>
        <s v="1015571"/>
        <s v="1015572"/>
        <s v="1015542"/>
        <s v="1015543"/>
        <s v="1015544"/>
        <s v="1015602"/>
        <s v="1011665"/>
        <s v="1011666"/>
        <s v="1011667"/>
      </sharedItems>
    </cacheField>
    <cacheField name="공정" numFmtId="0">
      <sharedItems containsSemiMixedTypes="0" containsString="0" containsNumber="1" containsInteger="1" minValue="10" maxValue="120" count="14">
        <n v="80"/>
        <n v="110"/>
        <n v="20"/>
        <n v="50"/>
        <n v="21"/>
        <n v="51"/>
        <n v="120"/>
        <n v="70"/>
        <n v="60"/>
        <n v="30"/>
        <n v="40"/>
        <n v="100"/>
        <n v="90"/>
        <n v="10"/>
      </sharedItems>
    </cacheField>
    <cacheField name="공정명" numFmtId="0">
      <sharedItems/>
    </cacheField>
    <cacheField name="설비명" numFmtId="0">
      <sharedItems count="60">
        <s v="자동당의코팅기2"/>
        <s v="레이저 인쇄선별기"/>
        <s v="하이스피드믹서1"/>
        <s v="IBC혼합기1"/>
        <s v="하이스피드믹서2"/>
        <s v="IBC혼합기2"/>
        <s v="자동당의코팅기1"/>
        <s v="자동정제캡슐선별기"/>
        <s v="캡슐질량선별기1"/>
        <s v="캡슐충전기2"/>
        <s v="자동정제선별기"/>
        <s v="타정실6(HATA1호기)"/>
        <s v="타정실2(JCM31)"/>
        <s v="분쇄정립기1"/>
        <s v="롤러콤팩터"/>
        <s v="타정기7(XT600-2호기)"/>
        <s v="정제인쇄기"/>
        <s v="타정실8(XT600-1호기)"/>
        <s v="타정실5(HT-38)"/>
        <s v="타정실1(HATA2호기)"/>
        <s v="자동당의기2"/>
        <s v="타정실3(HT45)"/>
        <s v="소형코팅기"/>
        <s v="(2동)타정기2(XT600이층정)"/>
        <s v="(2동)자동코팅기"/>
        <s v="(2동)레이저인쇄선별기"/>
        <s v="(2동)하이스피드믹서"/>
        <s v="(2동)IBC혼합기"/>
        <s v="(2동)타정기1(XT600단일정)"/>
        <s v="자동계수기3"/>
        <s v="고형제 라벨러3"/>
        <s v="자동계수기2"/>
        <s v="고형제 라벨러2"/>
        <s v="(2동)자동PTP포장기"/>
        <s v="(2동)자동카토너"/>
        <s v="자동이물검사기_액상바이알"/>
        <s v="바이알 세척기(분말)"/>
        <s v="바이알충전기(분말)"/>
        <s v="액상바이알 조제탱크"/>
        <s v="바이알세척기(액상)"/>
        <s v="바이알충전기(액상)"/>
        <s v="자동이물검사기_보쉬"/>
        <s v="B존 조제탱크"/>
        <s v="B존 앰플세척기"/>
        <s v="B존 앰플충전기"/>
        <s v="제품멸균기"/>
        <s v="자동이물검사기_에이자이"/>
        <s v="A존 조제탱크"/>
        <s v="A존 앰플세척기"/>
        <s v="A존 앰플충전기"/>
        <s v="바이알비전검사기"/>
        <s v="바이알라벨러"/>
        <s v="바이알카토너"/>
        <s v="기밀도 및 라벨러Ⅰ"/>
        <s v="앰플PTP포장기Ⅰ"/>
        <s v="앰플카토너Ⅰ"/>
        <s v="기밀도 및 라벨러Ⅱ"/>
        <s v="앰플PTP포장기Ⅱ"/>
        <s v="앰플카토너Ⅱ"/>
        <s v="주사제 수동포장"/>
      </sharedItems>
    </cacheField>
    <cacheField name="지시수량" numFmtId="0">
      <sharedItems containsSemiMixedTypes="0" containsString="0" containsNumber="1" containsInteger="1" minValue="1600" maxValue="1600000"/>
    </cacheField>
    <cacheField name="소요시간(H)" numFmtId="0">
      <sharedItems containsString="0" containsBlank="1" containsNumber="1" containsInteger="1" minValue="2" maxValue="73"/>
    </cacheField>
    <cacheField name="우선순위" numFmtId="0">
      <sharedItems containsSemiMixedTypes="0" containsString="0" containsNumber="1" containsInteger="1" minValue="1" maxValue="54" count="5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</sharedItems>
    </cacheField>
    <cacheField name="보여줄값" numFmtId="0">
      <sharedItems count="216">
        <s v="다파리나정 반제품_x000a_1015412_x000a_A002900_x000a_1000000"/>
        <s v="트루다파엘정10/5mg 반제품 (보령)_x000a_1015411_x000a_E00100_x000a_1000000"/>
        <s v="다파릴듀오서방정10/1000mg 반제품_x000a_1015647_x000a_A002967_x000a_200000"/>
        <s v="폴민다파서방정10/500mg 반제품 (녹십자)_x000a_1015671_x000a_1162019_x000a_300000"/>
        <s v="폴민다파서방정10/500mg 반제품 (녹십자)_x000a_1015672_x000a_1162020_x000a_300000"/>
        <s v="다파릴듀오서방정10/500mg 반제품_x000a_1015648_x000a_A002968_x000a_300000"/>
        <s v="네오다파정10mg 반제품(녹십자)_x000a_1014951_x000a_1164047_x000a_400000"/>
        <s v="네오다파정10mg 반제품(녹십자)_x000a_1014952_x000a_1164048_x000a_400000"/>
        <s v="네오다파정10mg 반제품(녹십자)_x000a_1014953_x000a_1164049_x000a_400000"/>
        <s v="다파릴정10mg 반제품_x000a_1015038_x000a_A002809_x000a_400000"/>
        <s v="다파릴정10mg 반제품_x000a_1015175_x000a_A002851_x000a_400000"/>
        <s v="다파릴정10mg 반제품_x000a_1015176_x000a_A002852_x000a_400000"/>
        <s v="다파릴정10mg 반제품_x000a_1015177_x000a_A002853_x000a_400000"/>
        <s v="다파릴정10mg 반제품_x000a_1015200_x000a_A002859_x000a_400000"/>
        <s v="다파릴정10mg 반제품_x000a_1015201_x000a_A002860_x000a_400000"/>
        <s v="다파릴정10mg 반제품_x000a_1015037_x000a_A002808_x000a_400000"/>
        <s v="포다글정10mg 반제품(이연제약)_x000a_1015203_x000a_R25001_x000a_400000"/>
        <s v="네오다파정5mg 반제품(녹십자)_x000a_1015211_x000a_1163016_x000a_400000"/>
        <s v="네오다파정5mg 반제품(녹십자)_x000a_1015212_x000a_1163017_x000a_400000"/>
        <s v="네오다파정5mg 반제품(녹십자)_x000a_1015213_x000a_1163018_x000a_400000"/>
        <s v="포글린정5mg 반제품(하나제약)_x000a_1015260_x000a_25001_x000a_400000"/>
        <s v="다파릴정5mg 반제품_x000a_1015261_x000a_A002867_x000a_400000"/>
        <s v="다파릴정5mg 반제품_x000a_1015262_x000a_A002868_x000a_400000"/>
        <s v="보믹캡슐7.5MG 반제품_x000a_1015192_x000a_A002857_x000a_300000"/>
        <s v="보믹캡슐7.5MG 반제품_x000a_1015193_x000a_A002858_x000a_300000"/>
        <s v="브롱코박솜캡슐(성인용)40MG 반제품_x000a_1015615_x000a_A002960_x000a_600000"/>
        <s v="브롱코박솜캡슐(성인용)40MG 반제품_x000a_1015614_x000a_A002959_x000a_600000"/>
        <s v="아나모틴정5MG 반제품_x000a_1014907_x000a_A002792_x000a_800000"/>
        <s v="아나빅스75mg 반제품_x000a_1015334_x000a_A002882_x000a_600000"/>
        <s v="아나빅스75mg 반제품_x000a_1015335_x000a_A002883_x000a_600000"/>
        <s v="아나빅스75mg 반제품_x000a_1015336_x000a_A002884_x000a_600000"/>
        <s v="아나솔정 반제품_x000a_1015556_x000a_A002939_x000a_600000"/>
        <s v="아나탄정16MG 반제품_x000a_1015323_x000a_A002878_x000a_300000"/>
        <s v="아나탄정16MG 반제품_x000a_1015324_x000a_A002879_x000a_300000"/>
        <s v="아나탄정16MG 반제품_x000a_1015591_x000a_A002953_x000a_300000"/>
        <s v="아나탄정16MG 반제품_x000a_1015592_x000a_A002954_x000a_300000"/>
        <s v="아나탄정8MG 반제품_x000a_1015326_x000a_A002881_x000a_600000"/>
        <s v="아나탄정8MG 반제품_x000a_1015589_x000a_A002951_x000a_600000"/>
        <s v="아나탄정8MG 반제품_x000a_1015590_x000a_A002952_x000a_600000"/>
        <s v="아나탄정8MG 반제품_x000a_1015325_x000a_A002880_x000a_600000"/>
        <s v="아주브론정12.5MG 반제품_x000a_1015263_x000a_A002869_x000a_600000"/>
        <s v="아주브론정12.5MG 반제품_x000a_1015264_x000a_A002870_x000a_600000"/>
        <s v="에어페낙듀오정 반제품 (동구바이오제약)_x000a_1015654_x000a_25003_x000a_400000"/>
        <s v="에어페낙듀오정 반제품 (동구바이오제약)_x000a_1015655_x000a_25004_x000a_400000"/>
        <s v="에페신에이스정 반제품 (명문제약)_x000a_1015436_x000a_25032_x000a_400000"/>
        <s v="에페신에이스정 반제품 (명문제약)_x000a_1015428_x000a_25029_x000a_400000"/>
        <s v="에페신에이스정 반제품 (명문제약)_x000a_1015429_x000a_25030_x000a_400000"/>
        <s v="에페신에이스정 반제품 (명문제약)_x000a_1015435_x000a_25031_x000a_400000"/>
        <s v="아세리손정 반제품 (마더스제약)_x000a_1015697_x000a_5032_x000a_400000"/>
        <s v="아세리손정 반제품 (마더스제약)_x000a_1015401_x000a_5030_x000a_400000"/>
        <s v="아세리손정 반제품 (마더스제약)_x000a_1015402_x000a_5031_x000a_400000"/>
        <s v="아세리손정 반제품 (마더스제약)_x000a_1015216_x000a_5027_x000a_400000"/>
        <s v="아세리손정 반제품 (마더스제약)_x000a_1015385_x000a_5028_x000a_400000"/>
        <s v="아세리손정 반제품 (마더스제약)_x000a_1015386_x000a_5029_x000a_400000"/>
        <s v="아세리손정 반제품 (마더스제약)_x000a_1015209_x000a_5023_x000a_400000"/>
        <s v="아세리손정 반제품 (마더스제약)_x000a_1015210_x000a_5024_x000a_400000"/>
        <s v="아세리손정 반제품 (마더스제약)_x000a_1015214_x000a_5025_x000a_400000"/>
        <s v="아세리손정 반제품 (마더스제약)_x000a_1015215_x000a_5026_x000a_400000"/>
        <s v="아펙손정 반제품_x000a_1015662_x000a_A002972_x000a_400000"/>
        <s v="아펙손정 반제품_x000a_1015676_x000a_A002974_x000a_400000"/>
        <s v="아펙손정 반제품_x000a_1015677_x000a_A002975_x000a_400000"/>
        <s v="페낙손정 반제품 (환인제약)_x000a_1015696_x000a_AR08AA_x000a_400000"/>
        <s v="아펜탈정100MG 반제품_x000a_1015698_x000a_A002979_x000a_800000"/>
        <s v="아펜탈정100MG 반제품_x000a_1015699_x000a_A002980_x000a_800000"/>
        <s v="아펜탈정100MG 반제품_x000a_1015217_x000a_A002865_x000a_800000"/>
        <s v="아펜탈정100MG 반제품_x000a_1015218_x000a_A002866_x000a_800000"/>
        <s v="아펜탈정100MG 반제품_x000a_1015426_x000a_A002901_x000a_800000"/>
        <s v="아펜탈정100MG 반제품_x000a_1015427_x000a_A002902_x000a_800000"/>
        <s v="세클로낙정100MG 반제품 (종근당)_x000a_1015425_x000a_KG003_x000a_800000"/>
        <s v="안탁스캡슐180MG 반제품_x000a_1015460_x000a_A002910_x000a_1000000"/>
        <s v="안탁스캡슐180MG 반제품_x000a_1015461_x000a_A002911_x000a_1000000"/>
        <s v="네렉손서방정75MG 반제품 (대원제약)_x000a_1015553_x000a_25017_x000a_800000"/>
        <s v="네렉손서방정75MG 반제품 (대원제약)_x000a_1015554_x000a_25018_x000a_800000"/>
        <s v="네렉손서방정75MG 반제품 (대원제약)_x000a_1015555_x000a_25019_x000a_800000"/>
        <s v="대웅바이오에페리손서방정75MG 반제품(대웅바이오)_x000a_1015278_x000a_25EP7003_x000a_800000"/>
        <s v="대웅바이오에페리손서방정75MG 반제품(대웅바이오)_x000a_1015332_x000a_25EP7004_x000a_800000"/>
        <s v="에페날서방정75MG 반제품 (동국제약)_x000a_1015333_x000a_25EPS0006_x000a_800000"/>
        <s v="엑손SR정75MG 반제품_x000a_1015529_x000a_A002933_x000a_800000"/>
        <s v="엑손SR정75MG 반제품_x000a_1015530_x000a_A002934_x000a_800000"/>
        <s v="엑손SR정75MG 반제품_x000a_1015531_x000a_A002935_x000a_800000"/>
        <s v="엑손SR정75MG 반제품_x000a_1015532_x000a_A002936_x000a_800000"/>
        <s v="엑손SR정75MG 반제품_x000a_1015349_x000a_A002891_x000a_800000"/>
        <s v="엑손SR정75MG 반제품_x000a_1015347_x000a_A002889_x000a_800000"/>
        <s v="엑손SR정75MG 반제품_x000a_1015348_x000a_A002890_x000a_800000"/>
        <s v="글로에리손SR서방정75MG 반제품 (킵스바이오파마)_x000a_1015588_x000a_AP001_x000a_800000"/>
        <s v="에펜서방정75MG 반제품 (경동제약)_x000a_1015585_x000a_KI001_x000a_800000"/>
        <s v="에릭손SR정75MG 반제품 (국제약품)_x000a_1015587_x000a_TES12501_x000a_800000"/>
        <s v="엑소닌정50MG 반제품 (SK)_x000a_1015104_x000a_92506_x000a_1000000"/>
        <s v="에펠정(에이프로젠)50MG 반제품 (에이프로젠)_x000a_1015513_x000a_25001_x000a_1000000"/>
        <s v="에페프린정50MG 반제품 (한화제약)_x000a_1015105_x000a_25001_x000a_1000000"/>
        <s v="대웅바이오에페리손정50MG 반제품 (대웅바이오)_x000a_1015464_x000a_25EP5010_x000a_1000000"/>
        <s v="대웅바이오에페리손정50MG 반제품 (대웅바이오)_x000a_1015463_x000a_25EP5009_x000a_1000000"/>
        <s v="한올에페리손정50MG 반제품 (한올바이오)_x000a_1015512_x000a_4000107_x000a_1000000"/>
        <s v="엑손정50MG 반제품_x000a_1015465_x000a_A002912_x000a_1000000"/>
        <s v="엑손정50MG 반제품_x000a_1015477_x000a_A002922_x000a_1000000"/>
        <s v="엑손정50MG 반제품_x000a_1015478_x000a_A002923_x000a_1000000"/>
        <s v="엑손정50MG 반제품_x000a_1015479_x000a_A002924_x000a_1000000"/>
        <s v="엑손정50MG 반제품_x000a_1015100_x000a_A002835_x000a_1000000"/>
        <s v="뮤프리손정50MG 반제품 (종근당)_x000a_1015141_x000a_KG002_x000a_1000000"/>
        <s v="아주오메프라졸캡슐20MG 반제품_x000a_1015600_x000a_A002958_x000a_500000"/>
        <s v="비디텍정25MG 반제품 (영일제약)_x000a_1014976_x000a_25004_x000a_600000"/>
        <s v="비디텍정25MG 반제품 (영일제약)_x000a_1015041_x000a_25005_x000a_600000"/>
        <s v="비디텍정25MG 반제품 (영일제약)_x000a_1015048_x000a_25006_x000a_600000"/>
        <s v="오미탄정25MG 반제품_x000a_1015433_x000a_A002904_x000a_600000"/>
        <s v="오미탄정25MG 반제품_x000a_1015434_x000a_A002905_x000a_600000"/>
        <s v="유로박솜캡슐60MG 반제품_x000a_1015597_x000a_A002955_x000a_1600000"/>
        <s v="유로박솜캡슐60MG 반제품_x000a_1015598_x000a_A002956_x000a_1600000"/>
        <s v="유로박솜캡슐60MG 반제품_x000a_1015599_x000a_A002957_x000a_1600000"/>
        <s v="유로박솜캡슐60MG 반제품_x000a_1015106_x000a_A002839_x000a_1600000"/>
        <s v="유로박솜캡슐60MG 반제품_x000a_1015107_x000a_A002840_x000a_1600000"/>
        <s v="정장생캡슐250MG 반제품_x000a_1015101_x000a_A002836_x000a_1000000"/>
        <s v="정장생캡슐250MG 반제품_x000a_1015102_x000a_A002837_x000a_1000000"/>
        <s v="정장생캡슐250MG 반제품_x000a_1015103_x000a_A002838_x000a_1000000"/>
        <s v="제로시드정20/1100 반제품_x000a_1015459_x000a_A002909_x000a_200000"/>
        <s v="제로시드정20/1100 반제품_x000a_1015458_x000a_A002908_x000a_200000"/>
        <s v="크레트롤정10/10MG 반제품 (수출)_x000a_1015377_x000a_A002871_x000a_600000"/>
        <s v="크레트롤정10/10MG 반제품 (수출)_x000a_1015378_x000a_A002872_x000a_600000"/>
        <s v="크레트롤정10/10MG 반제품 (수출)_x000a_1015413_x000a_A002873_x000a_600000"/>
        <s v="크레트롤정10/10MG 반제품 (수출)_x000a_1015414_x000a_A002874_x000a_600000"/>
        <s v="크레트롤정10/10MG 반제품 (수출)_x000a_1015415_x000a_A002875_x000a_600000"/>
        <s v="크레트롤정10/10MG 반제품_x000a_1015617_x000a_A002962_x000a_600000"/>
        <s v="크레트롤정10/10MG 반제품_x000a_1015618_x000a_A002963_x000a_600000"/>
        <s v="크레트롤정10/10MG 반제품_x000a_1015619_x000a_A002964_x000a_600000"/>
        <s v="크레트롤정10/10MG 반제품_x000a_1015649_x000a_A002969_x000a_600000"/>
        <s v="크레트롤정10/10MG 반제품_x000a_1015650_x000a_A002970_x000a_600000"/>
        <s v="크레트롤정10/10MG 반제품_x000a_1015673_x000a_A002971_x000a_600000"/>
        <s v="크레트롤정10/10MG 반제품_x000a_1015510_x000a_A002927_x000a_600000"/>
        <s v="크레트롤정10/10MG 반제품_x000a_1015511_x000a_A002928_x000a_600000"/>
        <s v="이지산트정10/10MG 반제품 (보령)_x000a_1015651_x000a_E00300_x000a_600000"/>
        <s v="크레트롤정10/20MG 반제품_x000a_1015527_x000a_A002931_x000a_200000"/>
        <s v="크레트롤정10/20MG 반제품_x000a_1015528_x000a_A002932_x000a_200000"/>
        <s v="크레트롤정10/5MG 반제품_x000a_1015674_x000a_A002973_x000a_1000000"/>
        <s v="크레트롤정10/5MG 반제품_x000a_1015690_x000a_A002976_x000a_1000000"/>
        <s v="크레트롤정10/5MG 반제품_x000a_1015691_x000a_A002977_x000a_1000000"/>
        <s v="크레트롤정10/5MG 반제품_x000a_1015475_x000a_A002920_x000a_1000000"/>
        <s v="크레트롤정10/5MG 반제품_x000a_1015476_x000a_A002921_x000a_1000000"/>
        <s v="이지산트정10/5MG 반제품 (보령)_x000a_1015693_x000a_E00300_x000a_1000000"/>
        <s v="트로돈캡슐50MG 반제품_x000a_1015321_x000a_A002876_x000a_600000"/>
        <s v="트로돈캡슐50MG 반제품_x000a_1015322_x000a_A002877_x000a_600000"/>
        <s v="폴민다파서방정10/1000mg 반제품 (녹십자)_x000a_1015596_x000a_1161034_x000a_200000"/>
        <s v="폴민다파서방정10/1000mg 반제품 (녹십자)_x000a_1015595_x000a_1161033_x000a_200000"/>
        <s v="다파릴듀오서방정10/1000mg 반제품_x000a_1015616_x000a_A002961_x000a_200000"/>
        <s v="다파릴듀오서방정10/1000mg 반제품_x000a_1015622_x000a_A002965_x000a_200000"/>
        <s v="도베셀정 500MG 반제품_x000a_1015551_x000a_A002937_x000a_600000"/>
        <s v="도베셀정 500MG 반제품_x000a_1015552_x000a_A002938_x000a_600000"/>
        <s v="도베셀정 500MG 반제품_x000a_1015583_x000a_A002949_x000a_600000"/>
        <s v="도베셀정 500MG 반제품_x000a_1015584_x000a_A002950_x000a_600000"/>
        <s v="도베셀정 500MG 반제품_x000a_1015526_x000a_A002930_x000a_600000"/>
        <s v="도베셀정 500MG 반제품_x000a_1015509_x000a_A002926_x000a_600000"/>
        <s v="도베셀정 500MG 반제품_x000a_1015525_x000a_A002929_x000a_600000"/>
        <s v="안탁스캡슐180MG 30C (병)_x000a_1015664_x000a_A002813_x000a_33333"/>
        <s v="안탁스캡슐180MG 30C (병)_x000a_1015665_x000a_A002814_x000a_33333"/>
        <s v="엑소닌CR서방정75MG 500T (병)(SK)_x000a_1015705_x000a_92502_x000a_1600"/>
        <s v="엑소닌CR서방정75MG 500T (병)(SK)_x000a_1015706_x000a_112502_x000a_1600"/>
        <s v="엑소닌CR서방정75MG 500T (병)(SK)_x000a_1015707_x000a_122502_x000a_1600"/>
        <s v="엑소닌CR서방정75MG 30T (병)(SK)_x000a_1015708_x000a_102501_x000a_26666"/>
        <s v="에페라SR정75MG 500T (병)(하나제약)_x000a_1015640_x000a_25008_x000a_1600"/>
        <s v="에페신SR정75MG 500T (병)(명문제약)_x000a_1015700_x000a_25035_x000a_1600"/>
        <s v="에페신SR정75MG 500T (병)(명문제약)_x000a_1015701_x000a_25036_x000a_1600"/>
        <s v="에페신SR정75MG 500T (병)(명문제약)_x000a_1015702_x000a_25037_x000a_1600"/>
        <s v="에페신SR정75MG 500T (병)(명문제약)_x000a_1015703_x000a_25038_x000a_1600"/>
        <s v="에페신SR정75MG 500T (병)(명문제약)_x000a_1015704_x000a_25039_x000a_1600"/>
        <s v="엑손정50MG 500T (병)_x000a_1015628_x000a_A002835_x000a_2000"/>
        <s v="다파릴듀오서방정10/1000mg 30정 (PTP)_x000a_1015668_x000a_A002885_x000a_6666"/>
        <s v="다파릴듀오서방정10/1000mg 30정 (PTP)_x000a_1015669_x000a_A002886_x000a_6666"/>
        <s v="다파릴듀오서방정10/1000mg 30정 (PTP)_x000a_1015670_x000a_A002895_x000a_6666"/>
        <s v="AYP-101(2.5%) 1V 반제품 (아미팜)_x000a_1015320_x000a_25003_x000a_40000"/>
        <s v="데노간주1G 10V (영진약품)_x000a_1015283_x000a_25103_x000a_4000"/>
        <s v="데노간주1G 10V (영진약품)_x000a_1015282_x000a_25102_x000a_4850"/>
        <s v="셀베인주 10V (제론셀베인)_x000a_1015376_x000a_CVI2509_x000a_5000"/>
        <s v="셀베인주 10V (제론셀베인)_x000a_1015375_x000a_CVI2508_x000a_5000"/>
        <s v="셀베인주 10V (제론셀베인)_x000a_1015374_x000a_CVI2507_x000a_5000"/>
        <s v="메트몰주 1G/10ML(구주제약) 10A_x000a_1015653_x000a_50142514_x000a_4000"/>
        <s v="트로돈주50MG 50A_x000a_1015564_x000a_A002943_x000a_2000"/>
        <s v="트로돈주50MG 50A_x000a_1015565_x000a_A002944_x000a_2000"/>
        <s v="트로돈주50MG 50A_x000a_1015566_x000a_A002945_x000a_2000"/>
        <s v="트로돈주50MG 50A_x000a_1015567_x000a_A002946_x000a_2000"/>
        <s v="트로돈주50MG 50A_x000a_1015563_x000a_A002942_x000a_2000"/>
        <s v="트로돈주50MG 50A_x000a_1015562_x000a_A002941_x000a_2000"/>
        <s v="제이비피플라몬주 10A (파마리서치)_x000a_1015661_x000a_25006A_x000a_7041"/>
        <s v="에취투주200MG 50A (중외제약)_x000a_1015612_x000a_25013_x000a_4000"/>
        <s v="에취투주200MG 50A (중외제약)_x000a_1015613_x000a_25014_x000a_4000"/>
        <s v="에취투주200MG 50A (중외제약)_x000a_1015684_x000a_25015_x000a_4000"/>
        <s v="프레디솔주125MG 1A (이연제약)_x000a_1013654_x000a_R25006_x000a_76000"/>
        <s v="라보파주50MG 10A (중외제약)_x000a_1015679_x000a_25007_x000a_4000"/>
        <s v="라보파주50MG 10A (중외제약)_x000a_1015680_x000a_25008_x000a_4000"/>
        <s v="데노간주주사용수 10A (영진약품)_x000a_1015295_x000a_25101_x000a_5000"/>
        <s v="아이델라주25MG 10A_x000a_1015474_x000a_A002919_x000a_8000"/>
        <s v="뮤테란주600MG 10A (한화제약)_x000a_1015501_x000a_25072_x000a_6000"/>
        <s v="뮤테란주600MG 10A (한화제약)_x000a_1015502_x000a_25073_x000a_6000"/>
        <s v="뮤테란주600MG 10A (한화제약)_x000a_1015503_x000a_25074_x000a_6000"/>
        <s v="뮤테란주600MG 10A (한화제약)_x000a_1015504_x000a_25075_x000a_6000"/>
        <s v="뮤테란주600MG 10A (한화제약)_x000a_1015505_x000a_25076_x000a_6000"/>
        <s v="뮤테란주600MG 10A (한화제약)_x000a_1015506_x000a_25077_x000a_6000"/>
        <s v="뮤테란주600MG 10A (한화제약)_x000a_1015507_x000a_25078_x000a_6000"/>
        <s v="앰플주사제 A라인 메디아필테스트_x000a_250411002_x000a_MFT-10A 01504_x000a_20000"/>
        <s v="메트몰주 1G/10ML(구주제약) 10A_x000a_1015652_x000a_50142513_x000a_4000"/>
        <s v="트로돈주50MG 50A_x000a_1015470_x000a_A002915_x000a_2000"/>
        <s v="트로돈주50MG 50A_x000a_1015471_x000a_A002916_x000a_2000"/>
        <s v="트로돈주50MG 50A_x000a_1015472_x000a_A002917_x000a_2000"/>
        <s v="트로돈주50MG 50A_x000a_1015473_x000a_A002918_x000a_2000"/>
        <s v="트로돈주50MG 50A_x000a_1015561_x000a_A002940_x000a_2000"/>
        <s v="제이비피플라몬주 10A (파마리서치)_x000a_1015660_x000a_25005A_x000a_6860"/>
        <s v="에취투주200MG 50A (중외제약)_x000a_1015467_x000a_25011_x000a_4000"/>
        <s v="에취투주200MG 50A (중외제약)_x000a_1015611_x000a_25012_x000a_4000"/>
        <s v="아주아미카신주500mg 10A (베트남)_x000a_1015431_x000a_A002807_x000a_6000"/>
        <s v="헤파멜즈인퓨전주5G 10A (한화제약)_x000a_1015570_x000a_25034_x000a_4000"/>
        <s v="헤파멜즈인퓨전주5G 10A (한화제약)_x000a_1015571_x000a_25035_x000a_4000"/>
        <s v="헤파멜즈인퓨전주5G 10A (한화제약)_x000a_1015572_x000a_25036_x000a_4000"/>
        <s v="헤파멜즈인퓨전주5G 10A (한화제약)_x000a_1015542_x000a_25031_x000a_4000"/>
        <s v="헤파멜즈인퓨전주5G 10A (한화제약)_x000a_1015543_x000a_25032_x000a_4000"/>
        <s v="헤파멜즈인퓨전주5G 10A (한화제약)_x000a_1015544_x000a_25033_x000a_4000"/>
        <s v="메조나카주 50A (알보젠코리아)_x000a_1015602_x000a_25002_x000a_2000"/>
        <s v="필로스주 10A (아모스팜)_x000a_1011665_x000a_A002046_x000a_4000"/>
        <s v="필로스주 10A (아모스팜)_x000a_1011666_x000a_A002047_x000a_4000"/>
        <s v="필로스주 10A (아모스팜)_x000a_1011667_x000a_A002048_x000a_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3">
  <r>
    <x v="0"/>
    <s v="다파리나정"/>
    <x v="0"/>
    <x v="0"/>
    <s v="다파리나정 반제품"/>
    <x v="0"/>
    <x v="0"/>
    <s v="코팅"/>
    <x v="0"/>
    <n v="1000000"/>
    <n v="10"/>
    <x v="0"/>
    <x v="0"/>
  </r>
  <r>
    <x v="0"/>
    <s v="다파리나정"/>
    <x v="0"/>
    <x v="0"/>
    <s v="다파리나정 반제품"/>
    <x v="0"/>
    <x v="0"/>
    <s v="코팅"/>
    <x v="0"/>
    <n v="1000000"/>
    <n v="10"/>
    <x v="0"/>
    <x v="0"/>
  </r>
  <r>
    <x v="0"/>
    <s v="다파리나정"/>
    <x v="0"/>
    <x v="0"/>
    <s v="다파리나정 반제품"/>
    <x v="0"/>
    <x v="1"/>
    <s v="선별"/>
    <x v="1"/>
    <n v="1000000"/>
    <n v="18"/>
    <x v="0"/>
    <x v="0"/>
  </r>
  <r>
    <x v="0"/>
    <s v="다파리나정"/>
    <x v="0"/>
    <x v="0"/>
    <s v="다파리나정 반제품"/>
    <x v="0"/>
    <x v="1"/>
    <s v="선별"/>
    <x v="1"/>
    <n v="1000000"/>
    <n v="18"/>
    <x v="0"/>
    <x v="0"/>
  </r>
  <r>
    <x v="0"/>
    <s v="다파리나정"/>
    <x v="1"/>
    <x v="1"/>
    <s v="트루다파엘정10/5mg 반제품 (보령)"/>
    <x v="1"/>
    <x v="0"/>
    <s v="코팅"/>
    <x v="0"/>
    <n v="1000000"/>
    <n v="10"/>
    <x v="1"/>
    <x v="1"/>
  </r>
  <r>
    <x v="0"/>
    <s v="다파리나정"/>
    <x v="1"/>
    <x v="1"/>
    <s v="트루다파엘정10/5mg 반제품 (보령)"/>
    <x v="1"/>
    <x v="0"/>
    <s v="코팅"/>
    <x v="0"/>
    <n v="1000000"/>
    <n v="10"/>
    <x v="1"/>
    <x v="1"/>
  </r>
  <r>
    <x v="0"/>
    <s v="다파리나정"/>
    <x v="1"/>
    <x v="1"/>
    <s v="트루다파엘정10/5mg 반제품 (보령)"/>
    <x v="1"/>
    <x v="1"/>
    <s v="선별"/>
    <x v="1"/>
    <n v="1000000"/>
    <n v="18"/>
    <x v="1"/>
    <x v="1"/>
  </r>
  <r>
    <x v="0"/>
    <s v="다파리나정"/>
    <x v="1"/>
    <x v="1"/>
    <s v="트루다파엘정10/5mg 반제품 (보령)"/>
    <x v="1"/>
    <x v="1"/>
    <s v="선별"/>
    <x v="1"/>
    <n v="1000000"/>
    <n v="18"/>
    <x v="1"/>
    <x v="1"/>
  </r>
  <r>
    <x v="0"/>
    <s v="다파릴듀오서방정10/1000MG"/>
    <x v="2"/>
    <x v="2"/>
    <s v="다파릴듀오서방정10/1000mg 반제품"/>
    <x v="2"/>
    <x v="2"/>
    <s v="과립(다파층)"/>
    <x v="2"/>
    <n v="200000"/>
    <n v="13"/>
    <x v="2"/>
    <x v="2"/>
  </r>
  <r>
    <x v="0"/>
    <s v="다파릴듀오서방정10/1000MG"/>
    <x v="2"/>
    <x v="2"/>
    <s v="다파릴듀오서방정10/1000mg 반제품"/>
    <x v="2"/>
    <x v="2"/>
    <s v="과립(다파층)"/>
    <x v="2"/>
    <n v="200000"/>
    <n v="13"/>
    <x v="2"/>
    <x v="2"/>
  </r>
  <r>
    <x v="0"/>
    <s v="다파릴듀오서방정10/1000MG"/>
    <x v="2"/>
    <x v="2"/>
    <s v="다파릴듀오서방정10/1000mg 반제품"/>
    <x v="2"/>
    <x v="3"/>
    <s v="혼합(다파층)"/>
    <x v="3"/>
    <n v="200000"/>
    <n v="3"/>
    <x v="2"/>
    <x v="2"/>
  </r>
  <r>
    <x v="0"/>
    <s v="다파릴듀오서방정10/1000MG"/>
    <x v="2"/>
    <x v="2"/>
    <s v="다파릴듀오서방정10/1000mg 반제품"/>
    <x v="2"/>
    <x v="3"/>
    <s v="혼합(다파층)"/>
    <x v="3"/>
    <n v="200000"/>
    <n v="3"/>
    <x v="2"/>
    <x v="2"/>
  </r>
  <r>
    <x v="0"/>
    <s v="다파릴듀오서방정10/1000MG"/>
    <x v="2"/>
    <x v="2"/>
    <s v="다파릴듀오서방정10/1000mg 반제품"/>
    <x v="2"/>
    <x v="2"/>
    <s v="과립(다파층)"/>
    <x v="2"/>
    <n v="200000"/>
    <n v="13"/>
    <x v="2"/>
    <x v="2"/>
  </r>
  <r>
    <x v="0"/>
    <s v="다파릴듀오서방정10/1000MG"/>
    <x v="2"/>
    <x v="2"/>
    <s v="다파릴듀오서방정10/1000mg 반제품"/>
    <x v="2"/>
    <x v="2"/>
    <s v="과립(다파층)"/>
    <x v="2"/>
    <n v="200000"/>
    <n v="13"/>
    <x v="2"/>
    <x v="2"/>
  </r>
  <r>
    <x v="0"/>
    <s v="다파릴듀오서방정10/1000MG"/>
    <x v="2"/>
    <x v="2"/>
    <s v="다파릴듀오서방정10/1000mg 반제품"/>
    <x v="2"/>
    <x v="3"/>
    <s v="혼합(다파층)"/>
    <x v="3"/>
    <n v="200000"/>
    <n v="3"/>
    <x v="2"/>
    <x v="2"/>
  </r>
  <r>
    <x v="0"/>
    <s v="다파릴듀오서방정10/1000MG"/>
    <x v="2"/>
    <x v="2"/>
    <s v="다파릴듀오서방정10/1000mg 반제품"/>
    <x v="2"/>
    <x v="3"/>
    <s v="혼합(다파층)"/>
    <x v="3"/>
    <n v="200000"/>
    <n v="3"/>
    <x v="2"/>
    <x v="2"/>
  </r>
  <r>
    <x v="0"/>
    <s v="다파릴듀오서방정10/500MG"/>
    <x v="3"/>
    <x v="3"/>
    <s v="폴민다파서방정10/500mg 반제품 (녹십자)"/>
    <x v="3"/>
    <x v="2"/>
    <s v="과립(다파층)"/>
    <x v="2"/>
    <n v="300000"/>
    <n v="15"/>
    <x v="3"/>
    <x v="3"/>
  </r>
  <r>
    <x v="0"/>
    <s v="다파릴듀오서방정10/500MG"/>
    <x v="4"/>
    <x v="3"/>
    <s v="폴민다파서방정10/500mg 반제품 (녹십자)"/>
    <x v="4"/>
    <x v="2"/>
    <s v="과립(다파층)"/>
    <x v="2"/>
    <n v="300000"/>
    <n v="15"/>
    <x v="3"/>
    <x v="4"/>
  </r>
  <r>
    <x v="0"/>
    <s v="다파릴듀오서방정10/500MG"/>
    <x v="3"/>
    <x v="3"/>
    <s v="폴민다파서방정10/500mg 반제품 (녹십자)"/>
    <x v="3"/>
    <x v="2"/>
    <s v="과립(다파층)"/>
    <x v="2"/>
    <n v="300000"/>
    <n v="15"/>
    <x v="3"/>
    <x v="3"/>
  </r>
  <r>
    <x v="0"/>
    <s v="다파릴듀오서방정10/500MG"/>
    <x v="4"/>
    <x v="3"/>
    <s v="폴민다파서방정10/500mg 반제품 (녹십자)"/>
    <x v="4"/>
    <x v="2"/>
    <s v="과립(다파층)"/>
    <x v="2"/>
    <n v="300000"/>
    <n v="15"/>
    <x v="3"/>
    <x v="4"/>
  </r>
  <r>
    <x v="0"/>
    <s v="다파릴듀오서방정10/500MG"/>
    <x v="3"/>
    <x v="3"/>
    <s v="폴민다파서방정10/500mg 반제품 (녹십자)"/>
    <x v="3"/>
    <x v="4"/>
    <s v="과립(매트층)"/>
    <x v="4"/>
    <n v="300000"/>
    <n v="18"/>
    <x v="3"/>
    <x v="3"/>
  </r>
  <r>
    <x v="0"/>
    <s v="다파릴듀오서방정10/500MG"/>
    <x v="4"/>
    <x v="3"/>
    <s v="폴민다파서방정10/500mg 반제품 (녹십자)"/>
    <x v="4"/>
    <x v="4"/>
    <s v="과립(매트층)"/>
    <x v="4"/>
    <n v="300000"/>
    <n v="18"/>
    <x v="3"/>
    <x v="4"/>
  </r>
  <r>
    <x v="0"/>
    <s v="다파릴듀오서방정10/500MG"/>
    <x v="3"/>
    <x v="3"/>
    <s v="폴민다파서방정10/500mg 반제품 (녹십자)"/>
    <x v="3"/>
    <x v="4"/>
    <s v="과립(매트층)"/>
    <x v="4"/>
    <n v="300000"/>
    <n v="18"/>
    <x v="3"/>
    <x v="3"/>
  </r>
  <r>
    <x v="0"/>
    <s v="다파릴듀오서방정10/500MG"/>
    <x v="4"/>
    <x v="3"/>
    <s v="폴민다파서방정10/500mg 반제품 (녹십자)"/>
    <x v="4"/>
    <x v="4"/>
    <s v="과립(매트층)"/>
    <x v="4"/>
    <n v="300000"/>
    <n v="18"/>
    <x v="3"/>
    <x v="4"/>
  </r>
  <r>
    <x v="0"/>
    <s v="다파릴듀오서방정10/500MG"/>
    <x v="3"/>
    <x v="3"/>
    <s v="폴민다파서방정10/500mg 반제품 (녹십자)"/>
    <x v="3"/>
    <x v="3"/>
    <s v="혼합(다파층)"/>
    <x v="3"/>
    <n v="300000"/>
    <n v="3"/>
    <x v="3"/>
    <x v="3"/>
  </r>
  <r>
    <x v="0"/>
    <s v="다파릴듀오서방정10/500MG"/>
    <x v="4"/>
    <x v="3"/>
    <s v="폴민다파서방정10/500mg 반제품 (녹십자)"/>
    <x v="4"/>
    <x v="3"/>
    <s v="혼합(다파층)"/>
    <x v="3"/>
    <n v="300000"/>
    <n v="3"/>
    <x v="3"/>
    <x v="4"/>
  </r>
  <r>
    <x v="0"/>
    <s v="다파릴듀오서방정10/500MG"/>
    <x v="3"/>
    <x v="3"/>
    <s v="폴민다파서방정10/500mg 반제품 (녹십자)"/>
    <x v="3"/>
    <x v="3"/>
    <s v="혼합(다파층)"/>
    <x v="3"/>
    <n v="300000"/>
    <n v="3"/>
    <x v="3"/>
    <x v="3"/>
  </r>
  <r>
    <x v="0"/>
    <s v="다파릴듀오서방정10/500MG"/>
    <x v="4"/>
    <x v="3"/>
    <s v="폴민다파서방정10/500mg 반제품 (녹십자)"/>
    <x v="4"/>
    <x v="3"/>
    <s v="혼합(다파층)"/>
    <x v="3"/>
    <n v="300000"/>
    <n v="3"/>
    <x v="3"/>
    <x v="4"/>
  </r>
  <r>
    <x v="0"/>
    <s v="다파릴듀오서방정10/500MG"/>
    <x v="3"/>
    <x v="3"/>
    <s v="폴민다파서방정10/500mg 반제품 (녹십자)"/>
    <x v="3"/>
    <x v="5"/>
    <s v="혼합(매트층)"/>
    <x v="5"/>
    <n v="300000"/>
    <n v="3"/>
    <x v="3"/>
    <x v="3"/>
  </r>
  <r>
    <x v="0"/>
    <s v="다파릴듀오서방정10/500MG"/>
    <x v="4"/>
    <x v="3"/>
    <s v="폴민다파서방정10/500mg 반제품 (녹십자)"/>
    <x v="4"/>
    <x v="5"/>
    <s v="혼합(매트층)"/>
    <x v="5"/>
    <n v="300000"/>
    <n v="3"/>
    <x v="3"/>
    <x v="4"/>
  </r>
  <r>
    <x v="0"/>
    <s v="다파릴듀오서방정10/500MG"/>
    <x v="3"/>
    <x v="3"/>
    <s v="폴민다파서방정10/500mg 반제품 (녹십자)"/>
    <x v="3"/>
    <x v="5"/>
    <s v="혼합(매트층)"/>
    <x v="5"/>
    <n v="300000"/>
    <n v="3"/>
    <x v="3"/>
    <x v="3"/>
  </r>
  <r>
    <x v="0"/>
    <s v="다파릴듀오서방정10/500MG"/>
    <x v="4"/>
    <x v="3"/>
    <s v="폴민다파서방정10/500mg 반제품 (녹십자)"/>
    <x v="4"/>
    <x v="5"/>
    <s v="혼합(매트층)"/>
    <x v="5"/>
    <n v="300000"/>
    <n v="3"/>
    <x v="3"/>
    <x v="4"/>
  </r>
  <r>
    <x v="0"/>
    <s v="다파릴듀오서방정10/500MG"/>
    <x v="3"/>
    <x v="3"/>
    <s v="폴민다파서방정10/500mg 반제품 (녹십자)"/>
    <x v="3"/>
    <x v="2"/>
    <s v="과립(다파층)"/>
    <x v="2"/>
    <n v="300000"/>
    <n v="15"/>
    <x v="3"/>
    <x v="3"/>
  </r>
  <r>
    <x v="0"/>
    <s v="다파릴듀오서방정10/500MG"/>
    <x v="4"/>
    <x v="3"/>
    <s v="폴민다파서방정10/500mg 반제품 (녹십자)"/>
    <x v="4"/>
    <x v="2"/>
    <s v="과립(다파층)"/>
    <x v="2"/>
    <n v="300000"/>
    <n v="15"/>
    <x v="3"/>
    <x v="4"/>
  </r>
  <r>
    <x v="0"/>
    <s v="다파릴듀오서방정10/500MG"/>
    <x v="3"/>
    <x v="3"/>
    <s v="폴민다파서방정10/500mg 반제품 (녹십자)"/>
    <x v="3"/>
    <x v="2"/>
    <s v="과립(다파층)"/>
    <x v="2"/>
    <n v="300000"/>
    <n v="15"/>
    <x v="3"/>
    <x v="3"/>
  </r>
  <r>
    <x v="0"/>
    <s v="다파릴듀오서방정10/500MG"/>
    <x v="4"/>
    <x v="3"/>
    <s v="폴민다파서방정10/500mg 반제품 (녹십자)"/>
    <x v="4"/>
    <x v="2"/>
    <s v="과립(다파층)"/>
    <x v="2"/>
    <n v="300000"/>
    <n v="15"/>
    <x v="3"/>
    <x v="4"/>
  </r>
  <r>
    <x v="0"/>
    <s v="다파릴듀오서방정10/500MG"/>
    <x v="3"/>
    <x v="3"/>
    <s v="폴민다파서방정10/500mg 반제품 (녹십자)"/>
    <x v="3"/>
    <x v="4"/>
    <s v="과립(매트층)"/>
    <x v="4"/>
    <n v="300000"/>
    <n v="15"/>
    <x v="3"/>
    <x v="3"/>
  </r>
  <r>
    <x v="0"/>
    <s v="다파릴듀오서방정10/500MG"/>
    <x v="4"/>
    <x v="3"/>
    <s v="폴민다파서방정10/500mg 반제품 (녹십자)"/>
    <x v="4"/>
    <x v="4"/>
    <s v="과립(매트층)"/>
    <x v="4"/>
    <n v="300000"/>
    <n v="15"/>
    <x v="3"/>
    <x v="4"/>
  </r>
  <r>
    <x v="0"/>
    <s v="다파릴듀오서방정10/500MG"/>
    <x v="3"/>
    <x v="3"/>
    <s v="폴민다파서방정10/500mg 반제품 (녹십자)"/>
    <x v="3"/>
    <x v="4"/>
    <s v="과립(매트층)"/>
    <x v="4"/>
    <n v="300000"/>
    <n v="15"/>
    <x v="3"/>
    <x v="3"/>
  </r>
  <r>
    <x v="0"/>
    <s v="다파릴듀오서방정10/500MG"/>
    <x v="4"/>
    <x v="3"/>
    <s v="폴민다파서방정10/500mg 반제품 (녹십자)"/>
    <x v="4"/>
    <x v="4"/>
    <s v="과립(매트층)"/>
    <x v="4"/>
    <n v="300000"/>
    <n v="15"/>
    <x v="3"/>
    <x v="4"/>
  </r>
  <r>
    <x v="0"/>
    <s v="다파릴듀오서방정10/500MG"/>
    <x v="3"/>
    <x v="3"/>
    <s v="폴민다파서방정10/500mg 반제품 (녹십자)"/>
    <x v="3"/>
    <x v="3"/>
    <s v="혼합(다파층)"/>
    <x v="3"/>
    <n v="300000"/>
    <n v="3"/>
    <x v="3"/>
    <x v="3"/>
  </r>
  <r>
    <x v="0"/>
    <s v="다파릴듀오서방정10/500MG"/>
    <x v="4"/>
    <x v="3"/>
    <s v="폴민다파서방정10/500mg 반제품 (녹십자)"/>
    <x v="4"/>
    <x v="3"/>
    <s v="혼합(다파층)"/>
    <x v="3"/>
    <n v="300000"/>
    <n v="3"/>
    <x v="3"/>
    <x v="4"/>
  </r>
  <r>
    <x v="0"/>
    <s v="다파릴듀오서방정10/500MG"/>
    <x v="3"/>
    <x v="3"/>
    <s v="폴민다파서방정10/500mg 반제품 (녹십자)"/>
    <x v="3"/>
    <x v="3"/>
    <s v="혼합(다파층)"/>
    <x v="3"/>
    <n v="300000"/>
    <n v="3"/>
    <x v="3"/>
    <x v="3"/>
  </r>
  <r>
    <x v="0"/>
    <s v="다파릴듀오서방정10/500MG"/>
    <x v="4"/>
    <x v="3"/>
    <s v="폴민다파서방정10/500mg 반제품 (녹십자)"/>
    <x v="4"/>
    <x v="3"/>
    <s v="혼합(다파층)"/>
    <x v="3"/>
    <n v="300000"/>
    <n v="3"/>
    <x v="3"/>
    <x v="4"/>
  </r>
  <r>
    <x v="0"/>
    <s v="다파릴듀오서방정10/500MG"/>
    <x v="3"/>
    <x v="3"/>
    <s v="폴민다파서방정10/500mg 반제품 (녹십자)"/>
    <x v="3"/>
    <x v="5"/>
    <s v="혼합(매트층)"/>
    <x v="5"/>
    <n v="300000"/>
    <n v="3"/>
    <x v="3"/>
    <x v="3"/>
  </r>
  <r>
    <x v="0"/>
    <s v="다파릴듀오서방정10/500MG"/>
    <x v="4"/>
    <x v="3"/>
    <s v="폴민다파서방정10/500mg 반제품 (녹십자)"/>
    <x v="4"/>
    <x v="5"/>
    <s v="혼합(매트층)"/>
    <x v="5"/>
    <n v="300000"/>
    <n v="3"/>
    <x v="3"/>
    <x v="4"/>
  </r>
  <r>
    <x v="0"/>
    <s v="다파릴듀오서방정10/500MG"/>
    <x v="3"/>
    <x v="3"/>
    <s v="폴민다파서방정10/500mg 반제품 (녹십자)"/>
    <x v="3"/>
    <x v="5"/>
    <s v="혼합(매트층)"/>
    <x v="5"/>
    <n v="300000"/>
    <n v="3"/>
    <x v="3"/>
    <x v="3"/>
  </r>
  <r>
    <x v="0"/>
    <s v="다파릴듀오서방정10/500MG"/>
    <x v="4"/>
    <x v="3"/>
    <s v="폴민다파서방정10/500mg 반제품 (녹십자)"/>
    <x v="4"/>
    <x v="5"/>
    <s v="혼합(매트층)"/>
    <x v="5"/>
    <n v="300000"/>
    <n v="3"/>
    <x v="3"/>
    <x v="4"/>
  </r>
  <r>
    <x v="0"/>
    <s v="다파릴듀오서방정10/500MG"/>
    <x v="5"/>
    <x v="4"/>
    <s v="다파릴듀오서방정10/500mg 반제품"/>
    <x v="5"/>
    <x v="2"/>
    <s v="과립(다파층)"/>
    <x v="2"/>
    <n v="300000"/>
    <n v="15"/>
    <x v="4"/>
    <x v="5"/>
  </r>
  <r>
    <x v="0"/>
    <s v="다파릴듀오서방정10/500MG"/>
    <x v="5"/>
    <x v="4"/>
    <s v="다파릴듀오서방정10/500mg 반제품"/>
    <x v="5"/>
    <x v="2"/>
    <s v="과립(다파층)"/>
    <x v="2"/>
    <n v="300000"/>
    <n v="15"/>
    <x v="4"/>
    <x v="5"/>
  </r>
  <r>
    <x v="0"/>
    <s v="다파릴듀오서방정10/500MG"/>
    <x v="5"/>
    <x v="4"/>
    <s v="다파릴듀오서방정10/500mg 반제품"/>
    <x v="5"/>
    <x v="4"/>
    <s v="과립(매트층)"/>
    <x v="4"/>
    <n v="300000"/>
    <n v="15"/>
    <x v="4"/>
    <x v="5"/>
  </r>
  <r>
    <x v="0"/>
    <s v="다파릴듀오서방정10/500MG"/>
    <x v="5"/>
    <x v="4"/>
    <s v="다파릴듀오서방정10/500mg 반제품"/>
    <x v="5"/>
    <x v="4"/>
    <s v="과립(매트층)"/>
    <x v="4"/>
    <n v="300000"/>
    <n v="15"/>
    <x v="4"/>
    <x v="5"/>
  </r>
  <r>
    <x v="0"/>
    <s v="다파릴듀오서방정10/500MG"/>
    <x v="5"/>
    <x v="4"/>
    <s v="다파릴듀오서방정10/500mg 반제품"/>
    <x v="5"/>
    <x v="3"/>
    <s v="혼합(다파층)"/>
    <x v="3"/>
    <n v="300000"/>
    <n v="3"/>
    <x v="4"/>
    <x v="5"/>
  </r>
  <r>
    <x v="0"/>
    <s v="다파릴듀오서방정10/500MG"/>
    <x v="5"/>
    <x v="4"/>
    <s v="다파릴듀오서방정10/500mg 반제품"/>
    <x v="5"/>
    <x v="3"/>
    <s v="혼합(다파층)"/>
    <x v="3"/>
    <n v="300000"/>
    <n v="3"/>
    <x v="4"/>
    <x v="5"/>
  </r>
  <r>
    <x v="0"/>
    <s v="다파릴듀오서방정10/500MG"/>
    <x v="5"/>
    <x v="4"/>
    <s v="다파릴듀오서방정10/500mg 반제품"/>
    <x v="5"/>
    <x v="5"/>
    <s v="혼합(매트층)"/>
    <x v="5"/>
    <n v="300000"/>
    <n v="3"/>
    <x v="4"/>
    <x v="5"/>
  </r>
  <r>
    <x v="0"/>
    <s v="다파릴듀오서방정10/500MG"/>
    <x v="5"/>
    <x v="4"/>
    <s v="다파릴듀오서방정10/500mg 반제품"/>
    <x v="5"/>
    <x v="5"/>
    <s v="혼합(매트층)"/>
    <x v="5"/>
    <n v="300000"/>
    <n v="3"/>
    <x v="4"/>
    <x v="5"/>
  </r>
  <r>
    <x v="0"/>
    <s v="다파릴듀오서방정10/500MG"/>
    <x v="5"/>
    <x v="4"/>
    <s v="다파릴듀오서방정10/500mg 반제품"/>
    <x v="5"/>
    <x v="2"/>
    <s v="과립(다파층)"/>
    <x v="2"/>
    <n v="300000"/>
    <n v="15"/>
    <x v="4"/>
    <x v="5"/>
  </r>
  <r>
    <x v="0"/>
    <s v="다파릴듀오서방정10/500MG"/>
    <x v="5"/>
    <x v="4"/>
    <s v="다파릴듀오서방정10/500mg 반제품"/>
    <x v="5"/>
    <x v="2"/>
    <s v="과립(다파층)"/>
    <x v="2"/>
    <n v="300000"/>
    <n v="15"/>
    <x v="4"/>
    <x v="5"/>
  </r>
  <r>
    <x v="0"/>
    <s v="다파릴듀오서방정10/500MG"/>
    <x v="5"/>
    <x v="4"/>
    <s v="다파릴듀오서방정10/500mg 반제품"/>
    <x v="5"/>
    <x v="4"/>
    <s v="과립(매트층)"/>
    <x v="4"/>
    <n v="300000"/>
    <n v="18"/>
    <x v="4"/>
    <x v="5"/>
  </r>
  <r>
    <x v="0"/>
    <s v="다파릴듀오서방정10/500MG"/>
    <x v="5"/>
    <x v="4"/>
    <s v="다파릴듀오서방정10/500mg 반제품"/>
    <x v="5"/>
    <x v="4"/>
    <s v="과립(매트층)"/>
    <x v="4"/>
    <n v="300000"/>
    <n v="18"/>
    <x v="4"/>
    <x v="5"/>
  </r>
  <r>
    <x v="0"/>
    <s v="다파릴듀오서방정10/500MG"/>
    <x v="5"/>
    <x v="4"/>
    <s v="다파릴듀오서방정10/500mg 반제품"/>
    <x v="5"/>
    <x v="3"/>
    <s v="혼합(다파층)"/>
    <x v="3"/>
    <n v="300000"/>
    <n v="3"/>
    <x v="4"/>
    <x v="5"/>
  </r>
  <r>
    <x v="0"/>
    <s v="다파릴듀오서방정10/500MG"/>
    <x v="5"/>
    <x v="4"/>
    <s v="다파릴듀오서방정10/500mg 반제품"/>
    <x v="5"/>
    <x v="3"/>
    <s v="혼합(다파층)"/>
    <x v="3"/>
    <n v="300000"/>
    <n v="3"/>
    <x v="4"/>
    <x v="5"/>
  </r>
  <r>
    <x v="0"/>
    <s v="다파릴듀오서방정10/500MG"/>
    <x v="5"/>
    <x v="4"/>
    <s v="다파릴듀오서방정10/500mg 반제품"/>
    <x v="5"/>
    <x v="5"/>
    <s v="혼합(매트층)"/>
    <x v="5"/>
    <n v="300000"/>
    <n v="3"/>
    <x v="4"/>
    <x v="5"/>
  </r>
  <r>
    <x v="0"/>
    <s v="다파릴듀오서방정10/500MG"/>
    <x v="5"/>
    <x v="4"/>
    <s v="다파릴듀오서방정10/500mg 반제품"/>
    <x v="5"/>
    <x v="5"/>
    <s v="혼합(매트층)"/>
    <x v="5"/>
    <n v="300000"/>
    <n v="3"/>
    <x v="4"/>
    <x v="5"/>
  </r>
  <r>
    <x v="0"/>
    <s v="다파릴정 10MG"/>
    <x v="6"/>
    <x v="5"/>
    <s v="네오다파정10mg 반제품(녹십자)"/>
    <x v="6"/>
    <x v="1"/>
    <s v="선별"/>
    <x v="1"/>
    <n v="400000"/>
    <n v="9"/>
    <x v="5"/>
    <x v="6"/>
  </r>
  <r>
    <x v="0"/>
    <s v="다파릴정 10MG"/>
    <x v="7"/>
    <x v="5"/>
    <s v="네오다파정10mg 반제품(녹십자)"/>
    <x v="7"/>
    <x v="1"/>
    <s v="선별"/>
    <x v="1"/>
    <n v="400000"/>
    <n v="9"/>
    <x v="5"/>
    <x v="7"/>
  </r>
  <r>
    <x v="0"/>
    <s v="다파릴정 10MG"/>
    <x v="8"/>
    <x v="5"/>
    <s v="네오다파정10mg 반제품(녹십자)"/>
    <x v="8"/>
    <x v="1"/>
    <s v="선별"/>
    <x v="1"/>
    <n v="400000"/>
    <n v="9"/>
    <x v="5"/>
    <x v="8"/>
  </r>
  <r>
    <x v="0"/>
    <s v="다파릴정 10MG"/>
    <x v="9"/>
    <x v="6"/>
    <s v="다파릴정10mg 반제품"/>
    <x v="9"/>
    <x v="0"/>
    <s v="코팅"/>
    <x v="6"/>
    <n v="400000"/>
    <n v="12"/>
    <x v="6"/>
    <x v="9"/>
  </r>
  <r>
    <x v="0"/>
    <s v="다파릴정 10MG"/>
    <x v="10"/>
    <x v="6"/>
    <s v="다파릴정10mg 반제품"/>
    <x v="10"/>
    <x v="0"/>
    <s v="코팅"/>
    <x v="6"/>
    <n v="400000"/>
    <n v="12"/>
    <x v="6"/>
    <x v="10"/>
  </r>
  <r>
    <x v="0"/>
    <s v="다파릴정 10MG"/>
    <x v="11"/>
    <x v="6"/>
    <s v="다파릴정10mg 반제품"/>
    <x v="11"/>
    <x v="0"/>
    <s v="코팅"/>
    <x v="6"/>
    <n v="400000"/>
    <n v="12"/>
    <x v="6"/>
    <x v="11"/>
  </r>
  <r>
    <x v="0"/>
    <s v="다파릴정 10MG"/>
    <x v="12"/>
    <x v="6"/>
    <s v="다파릴정10mg 반제품"/>
    <x v="12"/>
    <x v="0"/>
    <s v="코팅"/>
    <x v="6"/>
    <n v="400000"/>
    <n v="12"/>
    <x v="6"/>
    <x v="12"/>
  </r>
  <r>
    <x v="0"/>
    <s v="다파릴정 10MG"/>
    <x v="13"/>
    <x v="6"/>
    <s v="다파릴정10mg 반제품"/>
    <x v="13"/>
    <x v="0"/>
    <s v="코팅"/>
    <x v="6"/>
    <n v="400000"/>
    <n v="12"/>
    <x v="6"/>
    <x v="13"/>
  </r>
  <r>
    <x v="0"/>
    <s v="다파릴정 10MG"/>
    <x v="14"/>
    <x v="6"/>
    <s v="다파릴정10mg 반제품"/>
    <x v="14"/>
    <x v="0"/>
    <s v="코팅"/>
    <x v="6"/>
    <n v="400000"/>
    <n v="12"/>
    <x v="6"/>
    <x v="14"/>
  </r>
  <r>
    <x v="0"/>
    <s v="다파릴정 10MG"/>
    <x v="15"/>
    <x v="6"/>
    <s v="다파릴정10mg 반제품"/>
    <x v="15"/>
    <x v="1"/>
    <s v="선별"/>
    <x v="1"/>
    <n v="400000"/>
    <n v="9"/>
    <x v="6"/>
    <x v="15"/>
  </r>
  <r>
    <x v="0"/>
    <s v="다파릴정 10MG"/>
    <x v="9"/>
    <x v="6"/>
    <s v="다파릴정10mg 반제품"/>
    <x v="9"/>
    <x v="1"/>
    <s v="선별"/>
    <x v="1"/>
    <n v="400000"/>
    <n v="9"/>
    <x v="6"/>
    <x v="9"/>
  </r>
  <r>
    <x v="0"/>
    <s v="다파릴정 10MG"/>
    <x v="10"/>
    <x v="6"/>
    <s v="다파릴정10mg 반제품"/>
    <x v="10"/>
    <x v="1"/>
    <s v="선별"/>
    <x v="1"/>
    <n v="400000"/>
    <n v="9"/>
    <x v="6"/>
    <x v="10"/>
  </r>
  <r>
    <x v="0"/>
    <s v="다파릴정 10MG"/>
    <x v="11"/>
    <x v="6"/>
    <s v="다파릴정10mg 반제품"/>
    <x v="11"/>
    <x v="1"/>
    <s v="선별"/>
    <x v="1"/>
    <n v="400000"/>
    <n v="9"/>
    <x v="6"/>
    <x v="11"/>
  </r>
  <r>
    <x v="0"/>
    <s v="다파릴정 10MG"/>
    <x v="12"/>
    <x v="6"/>
    <s v="다파릴정10mg 반제품"/>
    <x v="12"/>
    <x v="1"/>
    <s v="선별"/>
    <x v="1"/>
    <n v="400000"/>
    <n v="9"/>
    <x v="6"/>
    <x v="12"/>
  </r>
  <r>
    <x v="0"/>
    <s v="다파릴정 10MG"/>
    <x v="13"/>
    <x v="6"/>
    <s v="다파릴정10mg 반제품"/>
    <x v="13"/>
    <x v="1"/>
    <s v="선별"/>
    <x v="1"/>
    <n v="400000"/>
    <n v="9"/>
    <x v="6"/>
    <x v="13"/>
  </r>
  <r>
    <x v="0"/>
    <s v="다파릴정 10MG"/>
    <x v="14"/>
    <x v="6"/>
    <s v="다파릴정10mg 반제품"/>
    <x v="14"/>
    <x v="1"/>
    <s v="선별"/>
    <x v="1"/>
    <n v="400000"/>
    <n v="9"/>
    <x v="6"/>
    <x v="14"/>
  </r>
  <r>
    <x v="0"/>
    <s v="다파릴정 10MG"/>
    <x v="16"/>
    <x v="7"/>
    <s v="포다글정10mg 반제품(이연제약)"/>
    <x v="16"/>
    <x v="0"/>
    <s v="코팅"/>
    <x v="6"/>
    <n v="400000"/>
    <n v="12"/>
    <x v="7"/>
    <x v="16"/>
  </r>
  <r>
    <x v="0"/>
    <s v="다파릴정 10MG"/>
    <x v="16"/>
    <x v="7"/>
    <s v="포다글정10mg 반제품(이연제약)"/>
    <x v="16"/>
    <x v="1"/>
    <s v="선별"/>
    <x v="1"/>
    <n v="400000"/>
    <n v="9"/>
    <x v="7"/>
    <x v="16"/>
  </r>
  <r>
    <x v="0"/>
    <s v="다파릴정 5MG"/>
    <x v="17"/>
    <x v="8"/>
    <s v="네오다파정5mg 반제품(녹십자)"/>
    <x v="17"/>
    <x v="0"/>
    <s v="코팅"/>
    <x v="6"/>
    <n v="400000"/>
    <n v="11"/>
    <x v="8"/>
    <x v="17"/>
  </r>
  <r>
    <x v="0"/>
    <s v="다파릴정 5MG"/>
    <x v="18"/>
    <x v="8"/>
    <s v="네오다파정5mg 반제품(녹십자)"/>
    <x v="18"/>
    <x v="0"/>
    <s v="코팅"/>
    <x v="6"/>
    <n v="400000"/>
    <n v="11"/>
    <x v="8"/>
    <x v="18"/>
  </r>
  <r>
    <x v="0"/>
    <s v="다파릴정 5MG"/>
    <x v="19"/>
    <x v="8"/>
    <s v="네오다파정5mg 반제품(녹십자)"/>
    <x v="19"/>
    <x v="0"/>
    <s v="코팅"/>
    <x v="6"/>
    <n v="400000"/>
    <n v="11"/>
    <x v="8"/>
    <x v="19"/>
  </r>
  <r>
    <x v="0"/>
    <s v="다파릴정 5MG"/>
    <x v="17"/>
    <x v="8"/>
    <s v="네오다파정5mg 반제품(녹십자)"/>
    <x v="17"/>
    <x v="1"/>
    <s v="선별"/>
    <x v="1"/>
    <n v="400000"/>
    <n v="9"/>
    <x v="8"/>
    <x v="17"/>
  </r>
  <r>
    <x v="0"/>
    <s v="다파릴정 5MG"/>
    <x v="18"/>
    <x v="8"/>
    <s v="네오다파정5mg 반제품(녹십자)"/>
    <x v="18"/>
    <x v="1"/>
    <s v="선별"/>
    <x v="1"/>
    <n v="400000"/>
    <n v="9"/>
    <x v="8"/>
    <x v="18"/>
  </r>
  <r>
    <x v="0"/>
    <s v="다파릴정 5MG"/>
    <x v="19"/>
    <x v="8"/>
    <s v="네오다파정5mg 반제품(녹십자)"/>
    <x v="19"/>
    <x v="1"/>
    <s v="선별"/>
    <x v="1"/>
    <n v="400000"/>
    <n v="9"/>
    <x v="8"/>
    <x v="19"/>
  </r>
  <r>
    <x v="0"/>
    <s v="다파릴정 5MG"/>
    <x v="20"/>
    <x v="9"/>
    <s v="포글린정5mg 반제품(하나제약)"/>
    <x v="20"/>
    <x v="0"/>
    <s v="코팅"/>
    <x v="6"/>
    <n v="400000"/>
    <n v="11"/>
    <x v="9"/>
    <x v="20"/>
  </r>
  <r>
    <x v="0"/>
    <s v="다파릴정 5MG"/>
    <x v="20"/>
    <x v="9"/>
    <s v="포글린정5mg 반제품(하나제약)"/>
    <x v="20"/>
    <x v="1"/>
    <s v="선별"/>
    <x v="1"/>
    <n v="400000"/>
    <n v="9"/>
    <x v="9"/>
    <x v="20"/>
  </r>
  <r>
    <x v="0"/>
    <s v="다파릴정 5MG"/>
    <x v="21"/>
    <x v="10"/>
    <s v="다파릴정5mg 반제품"/>
    <x v="21"/>
    <x v="0"/>
    <s v="코팅"/>
    <x v="6"/>
    <n v="400000"/>
    <n v="11"/>
    <x v="10"/>
    <x v="21"/>
  </r>
  <r>
    <x v="0"/>
    <s v="다파릴정 5MG"/>
    <x v="22"/>
    <x v="10"/>
    <s v="다파릴정5mg 반제품"/>
    <x v="22"/>
    <x v="0"/>
    <s v="코팅"/>
    <x v="6"/>
    <n v="400000"/>
    <n v="11"/>
    <x v="10"/>
    <x v="22"/>
  </r>
  <r>
    <x v="0"/>
    <s v="다파릴정 5MG"/>
    <x v="21"/>
    <x v="10"/>
    <s v="다파릴정5mg 반제품"/>
    <x v="21"/>
    <x v="1"/>
    <s v="선별"/>
    <x v="1"/>
    <n v="400000"/>
    <n v="9"/>
    <x v="10"/>
    <x v="21"/>
  </r>
  <r>
    <x v="0"/>
    <s v="다파릴정 5MG"/>
    <x v="22"/>
    <x v="10"/>
    <s v="다파릴정5mg 반제품"/>
    <x v="22"/>
    <x v="1"/>
    <s v="선별"/>
    <x v="1"/>
    <n v="400000"/>
    <n v="9"/>
    <x v="10"/>
    <x v="22"/>
  </r>
  <r>
    <x v="0"/>
    <s v="보믹캡슐 7.5MG"/>
    <x v="23"/>
    <x v="11"/>
    <s v="보믹캡슐7.5MG 반제품"/>
    <x v="23"/>
    <x v="1"/>
    <s v="선별"/>
    <x v="7"/>
    <n v="300000"/>
    <n v="15"/>
    <x v="11"/>
    <x v="23"/>
  </r>
  <r>
    <x v="0"/>
    <s v="보믹캡슐 7.5MG"/>
    <x v="24"/>
    <x v="11"/>
    <s v="보믹캡슐7.5MG 반제품"/>
    <x v="24"/>
    <x v="1"/>
    <s v="선별"/>
    <x v="7"/>
    <n v="300000"/>
    <n v="15"/>
    <x v="11"/>
    <x v="24"/>
  </r>
  <r>
    <x v="0"/>
    <s v="보믹캡슐 7.5MG"/>
    <x v="23"/>
    <x v="11"/>
    <s v="보믹캡슐7.5MG 반제품"/>
    <x v="23"/>
    <x v="6"/>
    <s v="질량선별"/>
    <x v="8"/>
    <n v="300000"/>
    <n v="13"/>
    <x v="11"/>
    <x v="23"/>
  </r>
  <r>
    <x v="0"/>
    <s v="보믹캡슐 7.5MG"/>
    <x v="24"/>
    <x v="11"/>
    <s v="보믹캡슐7.5MG 반제품"/>
    <x v="24"/>
    <x v="6"/>
    <s v="질량선별"/>
    <x v="8"/>
    <n v="300000"/>
    <n v="13"/>
    <x v="11"/>
    <x v="24"/>
  </r>
  <r>
    <x v="0"/>
    <s v="브롱코박솜 40MG"/>
    <x v="25"/>
    <x v="12"/>
    <s v="브롱코박솜캡슐(성인용)40MG 반제품"/>
    <x v="25"/>
    <x v="7"/>
    <s v="캡슐충전"/>
    <x v="9"/>
    <n v="600000"/>
    <n v="29"/>
    <x v="12"/>
    <x v="25"/>
  </r>
  <r>
    <x v="0"/>
    <s v="브롱코박솜 40MG"/>
    <x v="26"/>
    <x v="12"/>
    <s v="브롱코박솜캡슐(성인용)40MG 반제품"/>
    <x v="26"/>
    <x v="1"/>
    <s v="선별"/>
    <x v="7"/>
    <n v="600000"/>
    <n v="19"/>
    <x v="12"/>
    <x v="26"/>
  </r>
  <r>
    <x v="0"/>
    <s v="브롱코박솜 40MG"/>
    <x v="25"/>
    <x v="12"/>
    <s v="브롱코박솜캡슐(성인용)40MG 반제품"/>
    <x v="25"/>
    <x v="1"/>
    <s v="선별"/>
    <x v="7"/>
    <n v="600000"/>
    <n v="19"/>
    <x v="12"/>
    <x v="25"/>
  </r>
  <r>
    <x v="0"/>
    <s v="브롱코박솜 40MG"/>
    <x v="26"/>
    <x v="12"/>
    <s v="브롱코박솜캡슐(성인용)40MG 반제품"/>
    <x v="26"/>
    <x v="6"/>
    <s v="질량선별"/>
    <x v="8"/>
    <n v="600000"/>
    <n v="23"/>
    <x v="12"/>
    <x v="26"/>
  </r>
  <r>
    <x v="0"/>
    <s v="브롱코박솜 40MG"/>
    <x v="25"/>
    <x v="12"/>
    <s v="브롱코박솜캡슐(성인용)40MG 반제품"/>
    <x v="25"/>
    <x v="6"/>
    <s v="질량선별"/>
    <x v="8"/>
    <n v="600000"/>
    <n v="23"/>
    <x v="12"/>
    <x v="25"/>
  </r>
  <r>
    <x v="0"/>
    <s v="아나모틴정 5MG"/>
    <x v="27"/>
    <x v="13"/>
    <s v="아나모틴정5MG 반제품"/>
    <x v="27"/>
    <x v="1"/>
    <s v="선별"/>
    <x v="10"/>
    <n v="800000"/>
    <n v="14"/>
    <x v="13"/>
    <x v="27"/>
  </r>
  <r>
    <x v="0"/>
    <s v="아나빅스정 75MG"/>
    <x v="28"/>
    <x v="14"/>
    <s v="아나빅스75mg 반제품"/>
    <x v="28"/>
    <x v="0"/>
    <s v="코팅"/>
    <x v="6"/>
    <n v="600000"/>
    <n v="13"/>
    <x v="14"/>
    <x v="28"/>
  </r>
  <r>
    <x v="0"/>
    <s v="아나빅스정 75MG"/>
    <x v="29"/>
    <x v="14"/>
    <s v="아나빅스75mg 반제품"/>
    <x v="29"/>
    <x v="0"/>
    <s v="코팅"/>
    <x v="6"/>
    <n v="600000"/>
    <n v="13"/>
    <x v="14"/>
    <x v="29"/>
  </r>
  <r>
    <x v="0"/>
    <s v="아나빅스정 75MG"/>
    <x v="30"/>
    <x v="14"/>
    <s v="아나빅스75mg 반제품"/>
    <x v="30"/>
    <x v="0"/>
    <s v="코팅"/>
    <x v="6"/>
    <n v="600000"/>
    <n v="13"/>
    <x v="14"/>
    <x v="30"/>
  </r>
  <r>
    <x v="0"/>
    <s v="아나빅스정 75MG"/>
    <x v="28"/>
    <x v="14"/>
    <s v="아나빅스75mg 반제품"/>
    <x v="28"/>
    <x v="1"/>
    <s v="선별"/>
    <x v="7"/>
    <n v="600000"/>
    <n v="9"/>
    <x v="14"/>
    <x v="28"/>
  </r>
  <r>
    <x v="0"/>
    <s v="아나빅스정 75MG"/>
    <x v="29"/>
    <x v="14"/>
    <s v="아나빅스75mg 반제품"/>
    <x v="29"/>
    <x v="1"/>
    <s v="선별"/>
    <x v="7"/>
    <n v="600000"/>
    <n v="9"/>
    <x v="14"/>
    <x v="29"/>
  </r>
  <r>
    <x v="0"/>
    <s v="아나빅스정 75MG"/>
    <x v="30"/>
    <x v="14"/>
    <s v="아나빅스75mg 반제품"/>
    <x v="30"/>
    <x v="1"/>
    <s v="선별"/>
    <x v="7"/>
    <n v="600000"/>
    <n v="9"/>
    <x v="14"/>
    <x v="30"/>
  </r>
  <r>
    <x v="0"/>
    <s v="아나솔정 4MG"/>
    <x v="31"/>
    <x v="15"/>
    <s v="아나솔정 반제품"/>
    <x v="31"/>
    <x v="8"/>
    <s v="타정"/>
    <x v="11"/>
    <n v="600000"/>
    <n v="27"/>
    <x v="15"/>
    <x v="31"/>
  </r>
  <r>
    <x v="0"/>
    <s v="아나솔정 4MG"/>
    <x v="31"/>
    <x v="15"/>
    <s v="아나솔정 반제품"/>
    <x v="31"/>
    <x v="8"/>
    <s v="타정"/>
    <x v="11"/>
    <n v="600000"/>
    <n v="27"/>
    <x v="15"/>
    <x v="31"/>
  </r>
  <r>
    <x v="0"/>
    <s v="아나솔정 4MG"/>
    <x v="31"/>
    <x v="15"/>
    <s v="아나솔정 반제품"/>
    <x v="31"/>
    <x v="1"/>
    <s v="선별"/>
    <x v="7"/>
    <n v="600000"/>
    <n v="14"/>
    <x v="15"/>
    <x v="31"/>
  </r>
  <r>
    <x v="0"/>
    <s v="아나솔정 4MG"/>
    <x v="31"/>
    <x v="15"/>
    <s v="아나솔정 반제품"/>
    <x v="31"/>
    <x v="1"/>
    <s v="선별"/>
    <x v="7"/>
    <n v="600000"/>
    <n v="14"/>
    <x v="15"/>
    <x v="31"/>
  </r>
  <r>
    <x v="0"/>
    <s v="아나탄정 16MG"/>
    <x v="32"/>
    <x v="16"/>
    <s v="아나탄정16MG 반제품"/>
    <x v="32"/>
    <x v="8"/>
    <s v="타정"/>
    <x v="12"/>
    <n v="300000"/>
    <n v="21"/>
    <x v="16"/>
    <x v="32"/>
  </r>
  <r>
    <x v="0"/>
    <s v="아나탄정 16MG"/>
    <x v="33"/>
    <x v="16"/>
    <s v="아나탄정16MG 반제품"/>
    <x v="33"/>
    <x v="8"/>
    <s v="타정"/>
    <x v="12"/>
    <n v="300000"/>
    <n v="21"/>
    <x v="16"/>
    <x v="33"/>
  </r>
  <r>
    <x v="0"/>
    <s v="아나탄정 16MG"/>
    <x v="34"/>
    <x v="16"/>
    <s v="아나탄정16MG 반제품"/>
    <x v="34"/>
    <x v="8"/>
    <s v="타정"/>
    <x v="12"/>
    <n v="300000"/>
    <n v="21"/>
    <x v="16"/>
    <x v="34"/>
  </r>
  <r>
    <x v="0"/>
    <s v="아나탄정 16MG"/>
    <x v="35"/>
    <x v="16"/>
    <s v="아나탄정16MG 반제품"/>
    <x v="35"/>
    <x v="8"/>
    <s v="타정"/>
    <x v="12"/>
    <n v="300000"/>
    <n v="21"/>
    <x v="16"/>
    <x v="35"/>
  </r>
  <r>
    <x v="0"/>
    <s v="아나탄정 16MG"/>
    <x v="32"/>
    <x v="16"/>
    <s v="아나탄정16MG 반제품"/>
    <x v="32"/>
    <x v="1"/>
    <s v="선별"/>
    <x v="7"/>
    <n v="300000"/>
    <n v="11"/>
    <x v="16"/>
    <x v="32"/>
  </r>
  <r>
    <x v="0"/>
    <s v="아나탄정 16MG"/>
    <x v="33"/>
    <x v="16"/>
    <s v="아나탄정16MG 반제품"/>
    <x v="33"/>
    <x v="1"/>
    <s v="선별"/>
    <x v="7"/>
    <n v="300000"/>
    <n v="11"/>
    <x v="16"/>
    <x v="33"/>
  </r>
  <r>
    <x v="0"/>
    <s v="아나탄정 16MG"/>
    <x v="34"/>
    <x v="16"/>
    <s v="아나탄정16MG 반제품"/>
    <x v="34"/>
    <x v="1"/>
    <s v="선별"/>
    <x v="7"/>
    <n v="300000"/>
    <n v="11"/>
    <x v="16"/>
    <x v="34"/>
  </r>
  <r>
    <x v="0"/>
    <s v="아나탄정 16MG"/>
    <x v="35"/>
    <x v="16"/>
    <s v="아나탄정16MG 반제품"/>
    <x v="35"/>
    <x v="1"/>
    <s v="선별"/>
    <x v="7"/>
    <n v="300000"/>
    <n v="11"/>
    <x v="16"/>
    <x v="35"/>
  </r>
  <r>
    <x v="0"/>
    <s v="아나탄정 8MG"/>
    <x v="36"/>
    <x v="17"/>
    <s v="아나탄정8MG 반제품"/>
    <x v="36"/>
    <x v="8"/>
    <s v="타정"/>
    <x v="12"/>
    <n v="600000"/>
    <n v="36"/>
    <x v="17"/>
    <x v="36"/>
  </r>
  <r>
    <x v="0"/>
    <s v="아나탄정 8MG"/>
    <x v="37"/>
    <x v="17"/>
    <s v="아나탄정8MG 반제품"/>
    <x v="37"/>
    <x v="8"/>
    <s v="타정"/>
    <x v="12"/>
    <n v="600000"/>
    <n v="36"/>
    <x v="17"/>
    <x v="37"/>
  </r>
  <r>
    <x v="0"/>
    <s v="아나탄정 8MG"/>
    <x v="38"/>
    <x v="17"/>
    <s v="아나탄정8MG 반제품"/>
    <x v="38"/>
    <x v="8"/>
    <s v="타정"/>
    <x v="12"/>
    <n v="600000"/>
    <n v="36"/>
    <x v="17"/>
    <x v="38"/>
  </r>
  <r>
    <x v="0"/>
    <s v="아나탄정 8MG"/>
    <x v="39"/>
    <x v="17"/>
    <s v="아나탄정8MG 반제품"/>
    <x v="39"/>
    <x v="1"/>
    <s v="선별"/>
    <x v="7"/>
    <n v="600000"/>
    <n v="17"/>
    <x v="17"/>
    <x v="39"/>
  </r>
  <r>
    <x v="0"/>
    <s v="아나탄정 8MG"/>
    <x v="36"/>
    <x v="17"/>
    <s v="아나탄정8MG 반제품"/>
    <x v="36"/>
    <x v="1"/>
    <s v="선별"/>
    <x v="7"/>
    <n v="600000"/>
    <n v="17"/>
    <x v="17"/>
    <x v="36"/>
  </r>
  <r>
    <x v="0"/>
    <s v="아나탄정 8MG"/>
    <x v="37"/>
    <x v="17"/>
    <s v="아나탄정8MG 반제품"/>
    <x v="37"/>
    <x v="1"/>
    <s v="선별"/>
    <x v="7"/>
    <n v="600000"/>
    <n v="17"/>
    <x v="17"/>
    <x v="37"/>
  </r>
  <r>
    <x v="0"/>
    <s v="아나탄정 8MG"/>
    <x v="38"/>
    <x v="17"/>
    <s v="아나탄정8MG 반제품"/>
    <x v="38"/>
    <x v="1"/>
    <s v="선별"/>
    <x v="7"/>
    <n v="600000"/>
    <n v="17"/>
    <x v="17"/>
    <x v="38"/>
  </r>
  <r>
    <x v="0"/>
    <s v="아주브론정 12.5MG"/>
    <x v="40"/>
    <x v="18"/>
    <s v="아주브론정12.5MG 반제품"/>
    <x v="40"/>
    <x v="1"/>
    <s v="선별"/>
    <x v="7"/>
    <n v="600000"/>
    <n v="9"/>
    <x v="18"/>
    <x v="40"/>
  </r>
  <r>
    <x v="0"/>
    <s v="아주브론정 12.5MG"/>
    <x v="41"/>
    <x v="18"/>
    <s v="아주브론정12.5MG 반제품"/>
    <x v="41"/>
    <x v="1"/>
    <s v="선별"/>
    <x v="7"/>
    <n v="600000"/>
    <n v="9"/>
    <x v="18"/>
    <x v="41"/>
  </r>
  <r>
    <x v="0"/>
    <s v="아펙손정"/>
    <x v="42"/>
    <x v="19"/>
    <s v="에어페낙듀오정 반제품 (동구바이오제약)"/>
    <x v="42"/>
    <x v="9"/>
    <s v="분쇄(서방층)"/>
    <x v="13"/>
    <n v="400000"/>
    <n v="5"/>
    <x v="19"/>
    <x v="42"/>
  </r>
  <r>
    <x v="0"/>
    <s v="아펙손정"/>
    <x v="43"/>
    <x v="19"/>
    <s v="에어페낙듀오정 반제품 (동구바이오제약)"/>
    <x v="43"/>
    <x v="9"/>
    <s v="분쇄(서방층)"/>
    <x v="13"/>
    <n v="400000"/>
    <n v="5"/>
    <x v="19"/>
    <x v="43"/>
  </r>
  <r>
    <x v="0"/>
    <s v="아펙손정"/>
    <x v="42"/>
    <x v="19"/>
    <s v="에어페낙듀오정 반제품 (동구바이오제약)"/>
    <x v="42"/>
    <x v="10"/>
    <s v="롤러콤펙트(서방층)"/>
    <x v="14"/>
    <n v="400000"/>
    <n v="7"/>
    <x v="19"/>
    <x v="42"/>
  </r>
  <r>
    <x v="0"/>
    <s v="아펙손정"/>
    <x v="43"/>
    <x v="19"/>
    <s v="에어페낙듀오정 반제품 (동구바이오제약)"/>
    <x v="43"/>
    <x v="10"/>
    <s v="롤러콤펙트(서방층)"/>
    <x v="14"/>
    <n v="400000"/>
    <n v="7"/>
    <x v="19"/>
    <x v="43"/>
  </r>
  <r>
    <x v="0"/>
    <s v="아펙손정"/>
    <x v="42"/>
    <x v="19"/>
    <s v="에어페낙듀오정 반제품 (동구바이오제약)"/>
    <x v="42"/>
    <x v="3"/>
    <s v="혼합(서방층)"/>
    <x v="3"/>
    <n v="400000"/>
    <n v="3"/>
    <x v="19"/>
    <x v="42"/>
  </r>
  <r>
    <x v="0"/>
    <s v="아펙손정"/>
    <x v="43"/>
    <x v="19"/>
    <s v="에어페낙듀오정 반제품 (동구바이오제약)"/>
    <x v="43"/>
    <x v="3"/>
    <s v="혼합(서방층)"/>
    <x v="3"/>
    <n v="400000"/>
    <n v="3"/>
    <x v="19"/>
    <x v="43"/>
  </r>
  <r>
    <x v="0"/>
    <s v="아펙손정"/>
    <x v="42"/>
    <x v="19"/>
    <s v="에어페낙듀오정 반제품 (동구바이오제약)"/>
    <x v="42"/>
    <x v="5"/>
    <s v="혼합(아펜탈층)"/>
    <x v="5"/>
    <n v="400000"/>
    <n v="3"/>
    <x v="19"/>
    <x v="42"/>
  </r>
  <r>
    <x v="0"/>
    <s v="아펙손정"/>
    <x v="43"/>
    <x v="19"/>
    <s v="에어페낙듀오정 반제품 (동구바이오제약)"/>
    <x v="43"/>
    <x v="5"/>
    <s v="혼합(아펜탈층)"/>
    <x v="5"/>
    <n v="400000"/>
    <n v="3"/>
    <x v="19"/>
    <x v="43"/>
  </r>
  <r>
    <x v="0"/>
    <s v="아펙손정"/>
    <x v="42"/>
    <x v="19"/>
    <s v="에어페낙듀오정 반제품 (동구바이오제약)"/>
    <x v="42"/>
    <x v="8"/>
    <s v="타정"/>
    <x v="15"/>
    <n v="400000"/>
    <n v="23"/>
    <x v="19"/>
    <x v="42"/>
  </r>
  <r>
    <x v="0"/>
    <s v="아펙손정"/>
    <x v="43"/>
    <x v="19"/>
    <s v="에어페낙듀오정 반제품 (동구바이오제약)"/>
    <x v="43"/>
    <x v="8"/>
    <s v="타정"/>
    <x v="15"/>
    <n v="400000"/>
    <n v="23"/>
    <x v="19"/>
    <x v="43"/>
  </r>
  <r>
    <x v="0"/>
    <s v="아펙손정"/>
    <x v="42"/>
    <x v="19"/>
    <s v="에어페낙듀오정 반제품 (동구바이오제약)"/>
    <x v="42"/>
    <x v="0"/>
    <s v="코팅"/>
    <x v="0"/>
    <n v="400000"/>
    <n v="12"/>
    <x v="19"/>
    <x v="42"/>
  </r>
  <r>
    <x v="0"/>
    <s v="아펙손정"/>
    <x v="43"/>
    <x v="19"/>
    <s v="에어페낙듀오정 반제품 (동구바이오제약)"/>
    <x v="43"/>
    <x v="0"/>
    <s v="코팅"/>
    <x v="0"/>
    <n v="400000"/>
    <n v="12"/>
    <x v="19"/>
    <x v="43"/>
  </r>
  <r>
    <x v="0"/>
    <s v="아펙손정"/>
    <x v="42"/>
    <x v="19"/>
    <s v="에어페낙듀오정 반제품 (동구바이오제약)"/>
    <x v="42"/>
    <x v="11"/>
    <s v="인쇄"/>
    <x v="16"/>
    <n v="400000"/>
    <n v="7"/>
    <x v="19"/>
    <x v="42"/>
  </r>
  <r>
    <x v="0"/>
    <s v="아펙손정"/>
    <x v="43"/>
    <x v="19"/>
    <s v="에어페낙듀오정 반제품 (동구바이오제약)"/>
    <x v="43"/>
    <x v="11"/>
    <s v="인쇄"/>
    <x v="16"/>
    <n v="400000"/>
    <n v="7"/>
    <x v="19"/>
    <x v="43"/>
  </r>
  <r>
    <x v="0"/>
    <s v="아펙손정"/>
    <x v="42"/>
    <x v="19"/>
    <s v="에어페낙듀오정 반제품 (동구바이오제약)"/>
    <x v="42"/>
    <x v="1"/>
    <s v="선별"/>
    <x v="1"/>
    <n v="400000"/>
    <n v="6"/>
    <x v="19"/>
    <x v="42"/>
  </r>
  <r>
    <x v="0"/>
    <s v="아펙손정"/>
    <x v="43"/>
    <x v="19"/>
    <s v="에어페낙듀오정 반제품 (동구바이오제약)"/>
    <x v="43"/>
    <x v="1"/>
    <s v="선별"/>
    <x v="1"/>
    <n v="400000"/>
    <n v="6"/>
    <x v="19"/>
    <x v="43"/>
  </r>
  <r>
    <x v="0"/>
    <s v="아펙손정"/>
    <x v="44"/>
    <x v="20"/>
    <s v="에페신에이스정 반제품 (명문제약)"/>
    <x v="44"/>
    <x v="8"/>
    <s v="타정"/>
    <x v="15"/>
    <n v="400000"/>
    <n v="23"/>
    <x v="20"/>
    <x v="44"/>
  </r>
  <r>
    <x v="0"/>
    <s v="아펙손정"/>
    <x v="45"/>
    <x v="20"/>
    <s v="에페신에이스정 반제품 (명문제약)"/>
    <x v="45"/>
    <x v="0"/>
    <s v="코팅"/>
    <x v="0"/>
    <n v="400000"/>
    <n v="12"/>
    <x v="20"/>
    <x v="45"/>
  </r>
  <r>
    <x v="0"/>
    <s v="아펙손정"/>
    <x v="46"/>
    <x v="20"/>
    <s v="에페신에이스정 반제품 (명문제약)"/>
    <x v="46"/>
    <x v="0"/>
    <s v="코팅"/>
    <x v="0"/>
    <n v="400000"/>
    <n v="12"/>
    <x v="20"/>
    <x v="46"/>
  </r>
  <r>
    <x v="0"/>
    <s v="아펙손정"/>
    <x v="47"/>
    <x v="20"/>
    <s v="에페신에이스정 반제품 (명문제약)"/>
    <x v="47"/>
    <x v="0"/>
    <s v="코팅"/>
    <x v="0"/>
    <n v="400000"/>
    <n v="12"/>
    <x v="20"/>
    <x v="47"/>
  </r>
  <r>
    <x v="0"/>
    <s v="아펙손정"/>
    <x v="44"/>
    <x v="20"/>
    <s v="에페신에이스정 반제품 (명문제약)"/>
    <x v="44"/>
    <x v="0"/>
    <s v="코팅"/>
    <x v="0"/>
    <n v="400000"/>
    <n v="12"/>
    <x v="20"/>
    <x v="44"/>
  </r>
  <r>
    <x v="0"/>
    <s v="아펙손정"/>
    <x v="45"/>
    <x v="20"/>
    <s v="에페신에이스정 반제품 (명문제약)"/>
    <x v="45"/>
    <x v="11"/>
    <s v="인쇄"/>
    <x v="16"/>
    <n v="400000"/>
    <n v="7"/>
    <x v="20"/>
    <x v="45"/>
  </r>
  <r>
    <x v="0"/>
    <s v="아펙손정"/>
    <x v="46"/>
    <x v="20"/>
    <s v="에페신에이스정 반제품 (명문제약)"/>
    <x v="46"/>
    <x v="11"/>
    <s v="인쇄"/>
    <x v="16"/>
    <n v="400000"/>
    <n v="7"/>
    <x v="20"/>
    <x v="46"/>
  </r>
  <r>
    <x v="0"/>
    <s v="아펙손정"/>
    <x v="47"/>
    <x v="20"/>
    <s v="에페신에이스정 반제품 (명문제약)"/>
    <x v="47"/>
    <x v="11"/>
    <s v="인쇄"/>
    <x v="16"/>
    <n v="400000"/>
    <n v="7"/>
    <x v="20"/>
    <x v="47"/>
  </r>
  <r>
    <x v="0"/>
    <s v="아펙손정"/>
    <x v="44"/>
    <x v="20"/>
    <s v="에페신에이스정 반제품 (명문제약)"/>
    <x v="44"/>
    <x v="11"/>
    <s v="인쇄"/>
    <x v="16"/>
    <n v="400000"/>
    <n v="7"/>
    <x v="20"/>
    <x v="44"/>
  </r>
  <r>
    <x v="0"/>
    <s v="아펙손정"/>
    <x v="45"/>
    <x v="20"/>
    <s v="에페신에이스정 반제품 (명문제약)"/>
    <x v="45"/>
    <x v="1"/>
    <s v="선별"/>
    <x v="1"/>
    <n v="400000"/>
    <n v="6"/>
    <x v="20"/>
    <x v="45"/>
  </r>
  <r>
    <x v="0"/>
    <s v="아펙손정"/>
    <x v="46"/>
    <x v="20"/>
    <s v="에페신에이스정 반제품 (명문제약)"/>
    <x v="46"/>
    <x v="1"/>
    <s v="선별"/>
    <x v="1"/>
    <n v="400000"/>
    <n v="6"/>
    <x v="20"/>
    <x v="46"/>
  </r>
  <r>
    <x v="0"/>
    <s v="아펙손정"/>
    <x v="47"/>
    <x v="20"/>
    <s v="에페신에이스정 반제품 (명문제약)"/>
    <x v="47"/>
    <x v="1"/>
    <s v="선별"/>
    <x v="1"/>
    <n v="400000"/>
    <n v="6"/>
    <x v="20"/>
    <x v="47"/>
  </r>
  <r>
    <x v="0"/>
    <s v="아펙손정"/>
    <x v="44"/>
    <x v="20"/>
    <s v="에페신에이스정 반제품 (명문제약)"/>
    <x v="44"/>
    <x v="1"/>
    <s v="선별"/>
    <x v="1"/>
    <n v="400000"/>
    <n v="6"/>
    <x v="20"/>
    <x v="44"/>
  </r>
  <r>
    <x v="0"/>
    <s v="아펙손정"/>
    <x v="48"/>
    <x v="21"/>
    <s v="아세리손정 반제품 (마더스제약)"/>
    <x v="48"/>
    <x v="9"/>
    <s v="분쇄(서방층)"/>
    <x v="13"/>
    <n v="400000"/>
    <n v="5"/>
    <x v="21"/>
    <x v="48"/>
  </r>
  <r>
    <x v="0"/>
    <s v="아펙손정"/>
    <x v="48"/>
    <x v="21"/>
    <s v="아세리손정 반제품 (마더스제약)"/>
    <x v="48"/>
    <x v="10"/>
    <s v="롤러콤펙트(서방층)"/>
    <x v="14"/>
    <n v="400000"/>
    <n v="7"/>
    <x v="21"/>
    <x v="48"/>
  </r>
  <r>
    <x v="0"/>
    <s v="아펙손정"/>
    <x v="48"/>
    <x v="21"/>
    <s v="아세리손정 반제품 (마더스제약)"/>
    <x v="48"/>
    <x v="3"/>
    <s v="혼합(서방층)"/>
    <x v="3"/>
    <n v="400000"/>
    <n v="3"/>
    <x v="21"/>
    <x v="48"/>
  </r>
  <r>
    <x v="0"/>
    <s v="아펙손정"/>
    <x v="48"/>
    <x v="21"/>
    <s v="아세리손정 반제품 (마더스제약)"/>
    <x v="48"/>
    <x v="5"/>
    <s v="혼합(아펜탈층)"/>
    <x v="5"/>
    <n v="400000"/>
    <n v="3"/>
    <x v="21"/>
    <x v="48"/>
  </r>
  <r>
    <x v="0"/>
    <s v="아펙손정"/>
    <x v="49"/>
    <x v="21"/>
    <s v="아세리손정 반제품 (마더스제약)"/>
    <x v="49"/>
    <x v="8"/>
    <s v="타정"/>
    <x v="15"/>
    <n v="400000"/>
    <n v="23"/>
    <x v="21"/>
    <x v="49"/>
  </r>
  <r>
    <x v="0"/>
    <s v="아펙손정"/>
    <x v="50"/>
    <x v="21"/>
    <s v="아세리손정 반제품 (마더스제약)"/>
    <x v="50"/>
    <x v="8"/>
    <s v="타정"/>
    <x v="15"/>
    <n v="400000"/>
    <n v="23"/>
    <x v="21"/>
    <x v="50"/>
  </r>
  <r>
    <x v="0"/>
    <s v="아펙손정"/>
    <x v="48"/>
    <x v="21"/>
    <s v="아세리손정 반제품 (마더스제약)"/>
    <x v="48"/>
    <x v="8"/>
    <s v="타정"/>
    <x v="15"/>
    <n v="400000"/>
    <n v="23"/>
    <x v="21"/>
    <x v="48"/>
  </r>
  <r>
    <x v="0"/>
    <s v="아펙손정"/>
    <x v="51"/>
    <x v="21"/>
    <s v="아세리손정 반제품 (마더스제약)"/>
    <x v="51"/>
    <x v="0"/>
    <s v="코팅"/>
    <x v="6"/>
    <n v="400000"/>
    <n v="12"/>
    <x v="21"/>
    <x v="51"/>
  </r>
  <r>
    <x v="0"/>
    <s v="아펙손정"/>
    <x v="52"/>
    <x v="21"/>
    <s v="아세리손정 반제품 (마더스제약)"/>
    <x v="52"/>
    <x v="0"/>
    <s v="코팅"/>
    <x v="6"/>
    <n v="400000"/>
    <n v="12"/>
    <x v="21"/>
    <x v="52"/>
  </r>
  <r>
    <x v="0"/>
    <s v="아펙손정"/>
    <x v="53"/>
    <x v="21"/>
    <s v="아세리손정 반제품 (마더스제약)"/>
    <x v="53"/>
    <x v="0"/>
    <s v="코팅"/>
    <x v="6"/>
    <n v="400000"/>
    <n v="12"/>
    <x v="21"/>
    <x v="53"/>
  </r>
  <r>
    <x v="0"/>
    <s v="아펙손정"/>
    <x v="49"/>
    <x v="21"/>
    <s v="아세리손정 반제품 (마더스제약)"/>
    <x v="49"/>
    <x v="0"/>
    <s v="코팅"/>
    <x v="6"/>
    <n v="400000"/>
    <n v="12"/>
    <x v="21"/>
    <x v="49"/>
  </r>
  <r>
    <x v="0"/>
    <s v="아펙손정"/>
    <x v="50"/>
    <x v="21"/>
    <s v="아세리손정 반제품 (마더스제약)"/>
    <x v="50"/>
    <x v="0"/>
    <s v="코팅"/>
    <x v="6"/>
    <n v="400000"/>
    <n v="12"/>
    <x v="21"/>
    <x v="50"/>
  </r>
  <r>
    <x v="0"/>
    <s v="아펙손정"/>
    <x v="48"/>
    <x v="21"/>
    <s v="아세리손정 반제품 (마더스제약)"/>
    <x v="48"/>
    <x v="0"/>
    <s v="코팅"/>
    <x v="0"/>
    <n v="400000"/>
    <n v="12"/>
    <x v="21"/>
    <x v="48"/>
  </r>
  <r>
    <x v="0"/>
    <s v="아펙손정"/>
    <x v="52"/>
    <x v="21"/>
    <s v="아세리손정 반제품 (마더스제약)"/>
    <x v="52"/>
    <x v="11"/>
    <s v="인쇄"/>
    <x v="16"/>
    <n v="400000"/>
    <n v="7"/>
    <x v="21"/>
    <x v="52"/>
  </r>
  <r>
    <x v="0"/>
    <s v="아펙손정"/>
    <x v="53"/>
    <x v="21"/>
    <s v="아세리손정 반제품 (마더스제약)"/>
    <x v="53"/>
    <x v="11"/>
    <s v="인쇄"/>
    <x v="16"/>
    <n v="400000"/>
    <n v="7"/>
    <x v="21"/>
    <x v="53"/>
  </r>
  <r>
    <x v="0"/>
    <s v="아펙손정"/>
    <x v="49"/>
    <x v="21"/>
    <s v="아세리손정 반제품 (마더스제약)"/>
    <x v="49"/>
    <x v="11"/>
    <s v="인쇄"/>
    <x v="16"/>
    <n v="400000"/>
    <n v="7"/>
    <x v="21"/>
    <x v="49"/>
  </r>
  <r>
    <x v="0"/>
    <s v="아펙손정"/>
    <x v="50"/>
    <x v="21"/>
    <s v="아세리손정 반제품 (마더스제약)"/>
    <x v="50"/>
    <x v="11"/>
    <s v="인쇄"/>
    <x v="16"/>
    <n v="400000"/>
    <n v="7"/>
    <x v="21"/>
    <x v="50"/>
  </r>
  <r>
    <x v="0"/>
    <s v="아펙손정"/>
    <x v="48"/>
    <x v="21"/>
    <s v="아세리손정 반제품 (마더스제약)"/>
    <x v="48"/>
    <x v="11"/>
    <s v="인쇄"/>
    <x v="16"/>
    <n v="400000"/>
    <n v="7"/>
    <x v="21"/>
    <x v="48"/>
  </r>
  <r>
    <x v="0"/>
    <s v="아펙손정"/>
    <x v="54"/>
    <x v="21"/>
    <s v="아세리손정 반제품 (마더스제약)"/>
    <x v="54"/>
    <x v="1"/>
    <s v="선별"/>
    <x v="1"/>
    <n v="400000"/>
    <n v="6"/>
    <x v="21"/>
    <x v="54"/>
  </r>
  <r>
    <x v="0"/>
    <s v="아펙손정"/>
    <x v="55"/>
    <x v="21"/>
    <s v="아세리손정 반제품 (마더스제약)"/>
    <x v="55"/>
    <x v="1"/>
    <s v="선별"/>
    <x v="1"/>
    <n v="400000"/>
    <n v="6"/>
    <x v="21"/>
    <x v="55"/>
  </r>
  <r>
    <x v="0"/>
    <s v="아펙손정"/>
    <x v="56"/>
    <x v="21"/>
    <s v="아세리손정 반제품 (마더스제약)"/>
    <x v="56"/>
    <x v="1"/>
    <s v="선별"/>
    <x v="1"/>
    <n v="400000"/>
    <n v="6"/>
    <x v="21"/>
    <x v="56"/>
  </r>
  <r>
    <x v="0"/>
    <s v="아펙손정"/>
    <x v="57"/>
    <x v="21"/>
    <s v="아세리손정 반제품 (마더스제약)"/>
    <x v="57"/>
    <x v="1"/>
    <s v="선별"/>
    <x v="1"/>
    <n v="400000"/>
    <n v="6"/>
    <x v="21"/>
    <x v="57"/>
  </r>
  <r>
    <x v="0"/>
    <s v="아펙손정"/>
    <x v="51"/>
    <x v="21"/>
    <s v="아세리손정 반제품 (마더스제약)"/>
    <x v="51"/>
    <x v="1"/>
    <s v="선별"/>
    <x v="1"/>
    <n v="400000"/>
    <n v="6"/>
    <x v="21"/>
    <x v="51"/>
  </r>
  <r>
    <x v="0"/>
    <s v="아펙손정"/>
    <x v="52"/>
    <x v="21"/>
    <s v="아세리손정 반제품 (마더스제약)"/>
    <x v="52"/>
    <x v="1"/>
    <s v="선별"/>
    <x v="1"/>
    <n v="400000"/>
    <n v="6"/>
    <x v="21"/>
    <x v="52"/>
  </r>
  <r>
    <x v="0"/>
    <s v="아펙손정"/>
    <x v="53"/>
    <x v="21"/>
    <s v="아세리손정 반제품 (마더스제약)"/>
    <x v="53"/>
    <x v="1"/>
    <s v="선별"/>
    <x v="1"/>
    <n v="400000"/>
    <n v="6"/>
    <x v="21"/>
    <x v="53"/>
  </r>
  <r>
    <x v="0"/>
    <s v="아펙손정"/>
    <x v="49"/>
    <x v="21"/>
    <s v="아세리손정 반제품 (마더스제약)"/>
    <x v="49"/>
    <x v="1"/>
    <s v="선별"/>
    <x v="1"/>
    <n v="400000"/>
    <n v="6"/>
    <x v="21"/>
    <x v="49"/>
  </r>
  <r>
    <x v="0"/>
    <s v="아펙손정"/>
    <x v="50"/>
    <x v="21"/>
    <s v="아세리손정 반제품 (마더스제약)"/>
    <x v="50"/>
    <x v="1"/>
    <s v="선별"/>
    <x v="1"/>
    <n v="400000"/>
    <n v="6"/>
    <x v="21"/>
    <x v="50"/>
  </r>
  <r>
    <x v="0"/>
    <s v="아펙손정"/>
    <x v="48"/>
    <x v="21"/>
    <s v="아세리손정 반제품 (마더스제약)"/>
    <x v="48"/>
    <x v="1"/>
    <s v="선별"/>
    <x v="1"/>
    <n v="400000"/>
    <n v="6"/>
    <x v="21"/>
    <x v="48"/>
  </r>
  <r>
    <x v="0"/>
    <s v="아펙손정"/>
    <x v="58"/>
    <x v="22"/>
    <s v="아펙손정 반제품"/>
    <x v="58"/>
    <x v="9"/>
    <s v="분쇄(서방층)"/>
    <x v="13"/>
    <n v="400000"/>
    <n v="5"/>
    <x v="22"/>
    <x v="58"/>
  </r>
  <r>
    <x v="0"/>
    <s v="아펙손정"/>
    <x v="59"/>
    <x v="22"/>
    <s v="아펙손정 반제품"/>
    <x v="59"/>
    <x v="9"/>
    <s v="분쇄(서방층)"/>
    <x v="13"/>
    <n v="400000"/>
    <n v="5"/>
    <x v="22"/>
    <x v="59"/>
  </r>
  <r>
    <x v="0"/>
    <s v="아펙손정"/>
    <x v="60"/>
    <x v="22"/>
    <s v="아펙손정 반제품"/>
    <x v="60"/>
    <x v="9"/>
    <s v="분쇄(서방층)"/>
    <x v="13"/>
    <n v="400000"/>
    <n v="5"/>
    <x v="22"/>
    <x v="60"/>
  </r>
  <r>
    <x v="0"/>
    <s v="아펙손정"/>
    <x v="58"/>
    <x v="22"/>
    <s v="아펙손정 반제품"/>
    <x v="58"/>
    <x v="9"/>
    <s v="분쇄(서방층)"/>
    <x v="13"/>
    <n v="400000"/>
    <n v="5"/>
    <x v="22"/>
    <x v="58"/>
  </r>
  <r>
    <x v="0"/>
    <s v="아펙손정"/>
    <x v="59"/>
    <x v="22"/>
    <s v="아펙손정 반제품"/>
    <x v="59"/>
    <x v="9"/>
    <s v="분쇄(서방층)"/>
    <x v="13"/>
    <n v="400000"/>
    <n v="5"/>
    <x v="22"/>
    <x v="59"/>
  </r>
  <r>
    <x v="0"/>
    <s v="아펙손정"/>
    <x v="60"/>
    <x v="22"/>
    <s v="아펙손정 반제품"/>
    <x v="60"/>
    <x v="9"/>
    <s v="분쇄(서방층)"/>
    <x v="13"/>
    <n v="400000"/>
    <n v="5"/>
    <x v="22"/>
    <x v="60"/>
  </r>
  <r>
    <x v="0"/>
    <s v="아펙손정"/>
    <x v="58"/>
    <x v="22"/>
    <s v="아펙손정 반제품"/>
    <x v="58"/>
    <x v="9"/>
    <s v="분쇄(서방층)"/>
    <x v="13"/>
    <n v="400000"/>
    <n v="5"/>
    <x v="22"/>
    <x v="58"/>
  </r>
  <r>
    <x v="0"/>
    <s v="아펙손정"/>
    <x v="59"/>
    <x v="22"/>
    <s v="아펙손정 반제품"/>
    <x v="59"/>
    <x v="9"/>
    <s v="분쇄(서방층)"/>
    <x v="13"/>
    <n v="400000"/>
    <n v="5"/>
    <x v="22"/>
    <x v="59"/>
  </r>
  <r>
    <x v="0"/>
    <s v="아펙손정"/>
    <x v="60"/>
    <x v="22"/>
    <s v="아펙손정 반제품"/>
    <x v="60"/>
    <x v="9"/>
    <s v="분쇄(서방층)"/>
    <x v="13"/>
    <n v="400000"/>
    <n v="5"/>
    <x v="22"/>
    <x v="60"/>
  </r>
  <r>
    <x v="0"/>
    <s v="아펙손정"/>
    <x v="58"/>
    <x v="22"/>
    <s v="아펙손정 반제품"/>
    <x v="58"/>
    <x v="10"/>
    <s v="롤러콤펙트(서방층)"/>
    <x v="14"/>
    <n v="400000"/>
    <n v="7"/>
    <x v="22"/>
    <x v="58"/>
  </r>
  <r>
    <x v="0"/>
    <s v="아펙손정"/>
    <x v="59"/>
    <x v="22"/>
    <s v="아펙손정 반제품"/>
    <x v="59"/>
    <x v="10"/>
    <s v="롤러콤펙트(서방층)"/>
    <x v="14"/>
    <n v="400000"/>
    <n v="7"/>
    <x v="22"/>
    <x v="59"/>
  </r>
  <r>
    <x v="0"/>
    <s v="아펙손정"/>
    <x v="60"/>
    <x v="22"/>
    <s v="아펙손정 반제품"/>
    <x v="60"/>
    <x v="10"/>
    <s v="롤러콤펙트(서방층)"/>
    <x v="14"/>
    <n v="400000"/>
    <n v="7"/>
    <x v="22"/>
    <x v="60"/>
  </r>
  <r>
    <x v="0"/>
    <s v="아펙손정"/>
    <x v="58"/>
    <x v="22"/>
    <s v="아펙손정 반제품"/>
    <x v="58"/>
    <x v="10"/>
    <s v="롤러콤펙트(서방층)"/>
    <x v="14"/>
    <n v="400000"/>
    <n v="7"/>
    <x v="22"/>
    <x v="58"/>
  </r>
  <r>
    <x v="0"/>
    <s v="아펙손정"/>
    <x v="59"/>
    <x v="22"/>
    <s v="아펙손정 반제품"/>
    <x v="59"/>
    <x v="10"/>
    <s v="롤러콤펙트(서방층)"/>
    <x v="14"/>
    <n v="400000"/>
    <n v="7"/>
    <x v="22"/>
    <x v="59"/>
  </r>
  <r>
    <x v="0"/>
    <s v="아펙손정"/>
    <x v="60"/>
    <x v="22"/>
    <s v="아펙손정 반제품"/>
    <x v="60"/>
    <x v="10"/>
    <s v="롤러콤펙트(서방층)"/>
    <x v="14"/>
    <n v="400000"/>
    <n v="7"/>
    <x v="22"/>
    <x v="60"/>
  </r>
  <r>
    <x v="0"/>
    <s v="아펙손정"/>
    <x v="58"/>
    <x v="22"/>
    <s v="아펙손정 반제품"/>
    <x v="58"/>
    <x v="10"/>
    <s v="롤러콤펙트(서방층)"/>
    <x v="14"/>
    <n v="400000"/>
    <n v="7"/>
    <x v="22"/>
    <x v="58"/>
  </r>
  <r>
    <x v="0"/>
    <s v="아펙손정"/>
    <x v="59"/>
    <x v="22"/>
    <s v="아펙손정 반제품"/>
    <x v="59"/>
    <x v="10"/>
    <s v="롤러콤펙트(서방층)"/>
    <x v="14"/>
    <n v="400000"/>
    <n v="7"/>
    <x v="22"/>
    <x v="59"/>
  </r>
  <r>
    <x v="0"/>
    <s v="아펙손정"/>
    <x v="60"/>
    <x v="22"/>
    <s v="아펙손정 반제품"/>
    <x v="60"/>
    <x v="10"/>
    <s v="롤러콤펙트(서방층)"/>
    <x v="14"/>
    <n v="400000"/>
    <n v="7"/>
    <x v="22"/>
    <x v="60"/>
  </r>
  <r>
    <x v="0"/>
    <s v="아펙손정"/>
    <x v="58"/>
    <x v="22"/>
    <s v="아펙손정 반제품"/>
    <x v="58"/>
    <x v="3"/>
    <s v="혼합(서방층)"/>
    <x v="3"/>
    <n v="400000"/>
    <n v="3"/>
    <x v="22"/>
    <x v="58"/>
  </r>
  <r>
    <x v="0"/>
    <s v="아펙손정"/>
    <x v="59"/>
    <x v="22"/>
    <s v="아펙손정 반제품"/>
    <x v="59"/>
    <x v="3"/>
    <s v="혼합(서방층)"/>
    <x v="3"/>
    <n v="400000"/>
    <n v="3"/>
    <x v="22"/>
    <x v="59"/>
  </r>
  <r>
    <x v="0"/>
    <s v="아펙손정"/>
    <x v="60"/>
    <x v="22"/>
    <s v="아펙손정 반제품"/>
    <x v="60"/>
    <x v="3"/>
    <s v="혼합(서방층)"/>
    <x v="3"/>
    <n v="400000"/>
    <n v="3"/>
    <x v="22"/>
    <x v="60"/>
  </r>
  <r>
    <x v="0"/>
    <s v="아펙손정"/>
    <x v="58"/>
    <x v="22"/>
    <s v="아펙손정 반제품"/>
    <x v="58"/>
    <x v="3"/>
    <s v="혼합(서방층)"/>
    <x v="3"/>
    <n v="400000"/>
    <n v="3"/>
    <x v="22"/>
    <x v="58"/>
  </r>
  <r>
    <x v="0"/>
    <s v="아펙손정"/>
    <x v="59"/>
    <x v="22"/>
    <s v="아펙손정 반제품"/>
    <x v="59"/>
    <x v="3"/>
    <s v="혼합(서방층)"/>
    <x v="3"/>
    <n v="400000"/>
    <n v="3"/>
    <x v="22"/>
    <x v="59"/>
  </r>
  <r>
    <x v="0"/>
    <s v="아펙손정"/>
    <x v="60"/>
    <x v="22"/>
    <s v="아펙손정 반제품"/>
    <x v="60"/>
    <x v="3"/>
    <s v="혼합(서방층)"/>
    <x v="3"/>
    <n v="400000"/>
    <n v="3"/>
    <x v="22"/>
    <x v="60"/>
  </r>
  <r>
    <x v="0"/>
    <s v="아펙손정"/>
    <x v="58"/>
    <x v="22"/>
    <s v="아펙손정 반제품"/>
    <x v="58"/>
    <x v="3"/>
    <s v="혼합(서방층)"/>
    <x v="3"/>
    <n v="400000"/>
    <n v="3"/>
    <x v="22"/>
    <x v="58"/>
  </r>
  <r>
    <x v="0"/>
    <s v="아펙손정"/>
    <x v="59"/>
    <x v="22"/>
    <s v="아펙손정 반제품"/>
    <x v="59"/>
    <x v="3"/>
    <s v="혼합(서방층)"/>
    <x v="3"/>
    <n v="400000"/>
    <n v="3"/>
    <x v="22"/>
    <x v="59"/>
  </r>
  <r>
    <x v="0"/>
    <s v="아펙손정"/>
    <x v="60"/>
    <x v="22"/>
    <s v="아펙손정 반제품"/>
    <x v="60"/>
    <x v="3"/>
    <s v="혼합(서방층)"/>
    <x v="3"/>
    <n v="400000"/>
    <n v="3"/>
    <x v="22"/>
    <x v="60"/>
  </r>
  <r>
    <x v="0"/>
    <s v="아펙손정"/>
    <x v="58"/>
    <x v="22"/>
    <s v="아펙손정 반제품"/>
    <x v="58"/>
    <x v="5"/>
    <s v="혼합(아펜탈층)"/>
    <x v="5"/>
    <n v="400000"/>
    <n v="3"/>
    <x v="22"/>
    <x v="58"/>
  </r>
  <r>
    <x v="0"/>
    <s v="아펙손정"/>
    <x v="59"/>
    <x v="22"/>
    <s v="아펙손정 반제품"/>
    <x v="59"/>
    <x v="5"/>
    <s v="혼합(아펜탈층)"/>
    <x v="5"/>
    <n v="400000"/>
    <n v="3"/>
    <x v="22"/>
    <x v="59"/>
  </r>
  <r>
    <x v="0"/>
    <s v="아펙손정"/>
    <x v="60"/>
    <x v="22"/>
    <s v="아펙손정 반제품"/>
    <x v="60"/>
    <x v="5"/>
    <s v="혼합(아펜탈층)"/>
    <x v="5"/>
    <n v="400000"/>
    <n v="3"/>
    <x v="22"/>
    <x v="60"/>
  </r>
  <r>
    <x v="0"/>
    <s v="아펙손정"/>
    <x v="58"/>
    <x v="22"/>
    <s v="아펙손정 반제품"/>
    <x v="58"/>
    <x v="5"/>
    <s v="혼합(아펜탈층)"/>
    <x v="5"/>
    <n v="400000"/>
    <n v="3"/>
    <x v="22"/>
    <x v="58"/>
  </r>
  <r>
    <x v="0"/>
    <s v="아펙손정"/>
    <x v="59"/>
    <x v="22"/>
    <s v="아펙손정 반제품"/>
    <x v="59"/>
    <x v="5"/>
    <s v="혼합(아펜탈층)"/>
    <x v="5"/>
    <n v="400000"/>
    <n v="3"/>
    <x v="22"/>
    <x v="59"/>
  </r>
  <r>
    <x v="0"/>
    <s v="아펙손정"/>
    <x v="60"/>
    <x v="22"/>
    <s v="아펙손정 반제품"/>
    <x v="60"/>
    <x v="5"/>
    <s v="혼합(아펜탈층)"/>
    <x v="5"/>
    <n v="400000"/>
    <n v="3"/>
    <x v="22"/>
    <x v="60"/>
  </r>
  <r>
    <x v="0"/>
    <s v="아펙손정"/>
    <x v="58"/>
    <x v="22"/>
    <s v="아펙손정 반제품"/>
    <x v="58"/>
    <x v="5"/>
    <s v="혼합(아펜탈층)"/>
    <x v="5"/>
    <n v="400000"/>
    <n v="3"/>
    <x v="22"/>
    <x v="58"/>
  </r>
  <r>
    <x v="0"/>
    <s v="아펙손정"/>
    <x v="59"/>
    <x v="22"/>
    <s v="아펙손정 반제품"/>
    <x v="59"/>
    <x v="5"/>
    <s v="혼합(아펜탈층)"/>
    <x v="5"/>
    <n v="400000"/>
    <n v="3"/>
    <x v="22"/>
    <x v="59"/>
  </r>
  <r>
    <x v="0"/>
    <s v="아펙손정"/>
    <x v="60"/>
    <x v="22"/>
    <s v="아펙손정 반제품"/>
    <x v="60"/>
    <x v="5"/>
    <s v="혼합(아펜탈층)"/>
    <x v="5"/>
    <n v="400000"/>
    <n v="3"/>
    <x v="22"/>
    <x v="60"/>
  </r>
  <r>
    <x v="0"/>
    <s v="아펙손정"/>
    <x v="58"/>
    <x v="22"/>
    <s v="아펙손정 반제품"/>
    <x v="58"/>
    <x v="8"/>
    <s v="타정"/>
    <x v="17"/>
    <n v="400000"/>
    <n v="23"/>
    <x v="22"/>
    <x v="58"/>
  </r>
  <r>
    <x v="0"/>
    <s v="아펙손정"/>
    <x v="59"/>
    <x v="22"/>
    <s v="아펙손정 반제품"/>
    <x v="59"/>
    <x v="8"/>
    <s v="타정"/>
    <x v="17"/>
    <n v="400000"/>
    <n v="23"/>
    <x v="22"/>
    <x v="59"/>
  </r>
  <r>
    <x v="0"/>
    <s v="아펙손정"/>
    <x v="60"/>
    <x v="22"/>
    <s v="아펙손정 반제품"/>
    <x v="60"/>
    <x v="8"/>
    <s v="타정"/>
    <x v="17"/>
    <n v="400000"/>
    <n v="23"/>
    <x v="22"/>
    <x v="60"/>
  </r>
  <r>
    <x v="0"/>
    <s v="아펙손정"/>
    <x v="58"/>
    <x v="22"/>
    <s v="아펙손정 반제품"/>
    <x v="58"/>
    <x v="8"/>
    <s v="타정"/>
    <x v="17"/>
    <n v="400000"/>
    <n v="23"/>
    <x v="22"/>
    <x v="58"/>
  </r>
  <r>
    <x v="0"/>
    <s v="아펙손정"/>
    <x v="59"/>
    <x v="22"/>
    <s v="아펙손정 반제품"/>
    <x v="59"/>
    <x v="8"/>
    <s v="타정"/>
    <x v="17"/>
    <n v="400000"/>
    <n v="23"/>
    <x v="22"/>
    <x v="59"/>
  </r>
  <r>
    <x v="0"/>
    <s v="아펙손정"/>
    <x v="60"/>
    <x v="22"/>
    <s v="아펙손정 반제품"/>
    <x v="60"/>
    <x v="8"/>
    <s v="타정"/>
    <x v="17"/>
    <n v="400000"/>
    <n v="23"/>
    <x v="22"/>
    <x v="60"/>
  </r>
  <r>
    <x v="0"/>
    <s v="아펙손정"/>
    <x v="58"/>
    <x v="22"/>
    <s v="아펙손정 반제품"/>
    <x v="58"/>
    <x v="8"/>
    <s v="타정"/>
    <x v="17"/>
    <n v="400000"/>
    <n v="23"/>
    <x v="22"/>
    <x v="58"/>
  </r>
  <r>
    <x v="0"/>
    <s v="아펙손정"/>
    <x v="59"/>
    <x v="22"/>
    <s v="아펙손정 반제품"/>
    <x v="59"/>
    <x v="8"/>
    <s v="타정"/>
    <x v="17"/>
    <n v="400000"/>
    <n v="23"/>
    <x v="22"/>
    <x v="59"/>
  </r>
  <r>
    <x v="0"/>
    <s v="아펙손정"/>
    <x v="60"/>
    <x v="22"/>
    <s v="아펙손정 반제품"/>
    <x v="60"/>
    <x v="8"/>
    <s v="타정"/>
    <x v="17"/>
    <n v="400000"/>
    <n v="23"/>
    <x v="22"/>
    <x v="60"/>
  </r>
  <r>
    <x v="0"/>
    <s v="아펙손정"/>
    <x v="58"/>
    <x v="22"/>
    <s v="아펙손정 반제품"/>
    <x v="58"/>
    <x v="0"/>
    <s v="코팅"/>
    <x v="0"/>
    <n v="400000"/>
    <n v="12"/>
    <x v="22"/>
    <x v="58"/>
  </r>
  <r>
    <x v="0"/>
    <s v="아펙손정"/>
    <x v="59"/>
    <x v="22"/>
    <s v="아펙손정 반제품"/>
    <x v="59"/>
    <x v="0"/>
    <s v="코팅"/>
    <x v="0"/>
    <n v="400000"/>
    <n v="12"/>
    <x v="22"/>
    <x v="59"/>
  </r>
  <r>
    <x v="0"/>
    <s v="아펙손정"/>
    <x v="60"/>
    <x v="22"/>
    <s v="아펙손정 반제품"/>
    <x v="60"/>
    <x v="0"/>
    <s v="코팅"/>
    <x v="0"/>
    <n v="400000"/>
    <n v="12"/>
    <x v="22"/>
    <x v="60"/>
  </r>
  <r>
    <x v="0"/>
    <s v="아펙손정"/>
    <x v="58"/>
    <x v="22"/>
    <s v="아펙손정 반제품"/>
    <x v="58"/>
    <x v="0"/>
    <s v="코팅"/>
    <x v="0"/>
    <n v="400000"/>
    <n v="12"/>
    <x v="22"/>
    <x v="58"/>
  </r>
  <r>
    <x v="0"/>
    <s v="아펙손정"/>
    <x v="59"/>
    <x v="22"/>
    <s v="아펙손정 반제품"/>
    <x v="59"/>
    <x v="0"/>
    <s v="코팅"/>
    <x v="0"/>
    <n v="400000"/>
    <n v="12"/>
    <x v="22"/>
    <x v="59"/>
  </r>
  <r>
    <x v="0"/>
    <s v="아펙손정"/>
    <x v="60"/>
    <x v="22"/>
    <s v="아펙손정 반제품"/>
    <x v="60"/>
    <x v="0"/>
    <s v="코팅"/>
    <x v="0"/>
    <n v="400000"/>
    <n v="12"/>
    <x v="22"/>
    <x v="60"/>
  </r>
  <r>
    <x v="0"/>
    <s v="아펙손정"/>
    <x v="58"/>
    <x v="22"/>
    <s v="아펙손정 반제품"/>
    <x v="58"/>
    <x v="0"/>
    <s v="코팅"/>
    <x v="0"/>
    <n v="400000"/>
    <n v="12"/>
    <x v="22"/>
    <x v="58"/>
  </r>
  <r>
    <x v="0"/>
    <s v="아펙손정"/>
    <x v="59"/>
    <x v="22"/>
    <s v="아펙손정 반제품"/>
    <x v="59"/>
    <x v="0"/>
    <s v="코팅"/>
    <x v="0"/>
    <n v="400000"/>
    <n v="12"/>
    <x v="22"/>
    <x v="59"/>
  </r>
  <r>
    <x v="0"/>
    <s v="아펙손정"/>
    <x v="60"/>
    <x v="22"/>
    <s v="아펙손정 반제품"/>
    <x v="60"/>
    <x v="0"/>
    <s v="코팅"/>
    <x v="0"/>
    <n v="400000"/>
    <n v="12"/>
    <x v="22"/>
    <x v="60"/>
  </r>
  <r>
    <x v="0"/>
    <s v="아펙손정"/>
    <x v="58"/>
    <x v="22"/>
    <s v="아펙손정 반제품"/>
    <x v="58"/>
    <x v="11"/>
    <s v="인쇄"/>
    <x v="16"/>
    <n v="400000"/>
    <n v="7"/>
    <x v="22"/>
    <x v="58"/>
  </r>
  <r>
    <x v="0"/>
    <s v="아펙손정"/>
    <x v="59"/>
    <x v="22"/>
    <s v="아펙손정 반제품"/>
    <x v="59"/>
    <x v="11"/>
    <s v="인쇄"/>
    <x v="16"/>
    <n v="400000"/>
    <n v="7"/>
    <x v="22"/>
    <x v="59"/>
  </r>
  <r>
    <x v="0"/>
    <s v="아펙손정"/>
    <x v="60"/>
    <x v="22"/>
    <s v="아펙손정 반제품"/>
    <x v="60"/>
    <x v="11"/>
    <s v="인쇄"/>
    <x v="16"/>
    <n v="400000"/>
    <n v="7"/>
    <x v="22"/>
    <x v="60"/>
  </r>
  <r>
    <x v="0"/>
    <s v="아펙손정"/>
    <x v="58"/>
    <x v="22"/>
    <s v="아펙손정 반제품"/>
    <x v="58"/>
    <x v="11"/>
    <s v="인쇄"/>
    <x v="16"/>
    <n v="400000"/>
    <n v="7"/>
    <x v="22"/>
    <x v="58"/>
  </r>
  <r>
    <x v="0"/>
    <s v="아펙손정"/>
    <x v="59"/>
    <x v="22"/>
    <s v="아펙손정 반제품"/>
    <x v="59"/>
    <x v="11"/>
    <s v="인쇄"/>
    <x v="16"/>
    <n v="400000"/>
    <n v="7"/>
    <x v="22"/>
    <x v="59"/>
  </r>
  <r>
    <x v="0"/>
    <s v="아펙손정"/>
    <x v="60"/>
    <x v="22"/>
    <s v="아펙손정 반제품"/>
    <x v="60"/>
    <x v="11"/>
    <s v="인쇄"/>
    <x v="16"/>
    <n v="400000"/>
    <n v="7"/>
    <x v="22"/>
    <x v="60"/>
  </r>
  <r>
    <x v="0"/>
    <s v="아펙손정"/>
    <x v="58"/>
    <x v="22"/>
    <s v="아펙손정 반제품"/>
    <x v="58"/>
    <x v="1"/>
    <s v="선별"/>
    <x v="1"/>
    <n v="400000"/>
    <n v="6"/>
    <x v="22"/>
    <x v="58"/>
  </r>
  <r>
    <x v="0"/>
    <s v="아펙손정"/>
    <x v="59"/>
    <x v="22"/>
    <s v="아펙손정 반제품"/>
    <x v="59"/>
    <x v="1"/>
    <s v="선별"/>
    <x v="1"/>
    <n v="400000"/>
    <n v="6"/>
    <x v="22"/>
    <x v="59"/>
  </r>
  <r>
    <x v="0"/>
    <s v="아펙손정"/>
    <x v="60"/>
    <x v="22"/>
    <s v="아펙손정 반제품"/>
    <x v="60"/>
    <x v="1"/>
    <s v="선별"/>
    <x v="1"/>
    <n v="400000"/>
    <n v="6"/>
    <x v="22"/>
    <x v="60"/>
  </r>
  <r>
    <x v="0"/>
    <s v="아펙손정"/>
    <x v="58"/>
    <x v="22"/>
    <s v="아펙손정 반제품"/>
    <x v="58"/>
    <x v="1"/>
    <s v="선별"/>
    <x v="1"/>
    <n v="400000"/>
    <n v="6"/>
    <x v="22"/>
    <x v="58"/>
  </r>
  <r>
    <x v="0"/>
    <s v="아펙손정"/>
    <x v="59"/>
    <x v="22"/>
    <s v="아펙손정 반제품"/>
    <x v="59"/>
    <x v="1"/>
    <s v="선별"/>
    <x v="1"/>
    <n v="400000"/>
    <n v="6"/>
    <x v="22"/>
    <x v="59"/>
  </r>
  <r>
    <x v="0"/>
    <s v="아펙손정"/>
    <x v="60"/>
    <x v="22"/>
    <s v="아펙손정 반제품"/>
    <x v="60"/>
    <x v="1"/>
    <s v="선별"/>
    <x v="1"/>
    <n v="400000"/>
    <n v="6"/>
    <x v="22"/>
    <x v="60"/>
  </r>
  <r>
    <x v="0"/>
    <s v="아펙손정"/>
    <x v="58"/>
    <x v="22"/>
    <s v="아펙손정 반제품"/>
    <x v="58"/>
    <x v="1"/>
    <s v="선별"/>
    <x v="1"/>
    <n v="400000"/>
    <n v="6"/>
    <x v="22"/>
    <x v="58"/>
  </r>
  <r>
    <x v="0"/>
    <s v="아펙손정"/>
    <x v="59"/>
    <x v="22"/>
    <s v="아펙손정 반제품"/>
    <x v="59"/>
    <x v="1"/>
    <s v="선별"/>
    <x v="1"/>
    <n v="400000"/>
    <n v="6"/>
    <x v="22"/>
    <x v="59"/>
  </r>
  <r>
    <x v="0"/>
    <s v="아펙손정"/>
    <x v="60"/>
    <x v="22"/>
    <s v="아펙손정 반제품"/>
    <x v="60"/>
    <x v="1"/>
    <s v="선별"/>
    <x v="1"/>
    <n v="400000"/>
    <n v="6"/>
    <x v="22"/>
    <x v="60"/>
  </r>
  <r>
    <x v="0"/>
    <s v="아펙손정"/>
    <x v="61"/>
    <x v="23"/>
    <s v="페낙손정 반제품 (환인제약)"/>
    <x v="61"/>
    <x v="9"/>
    <s v="분쇄(서방층)"/>
    <x v="13"/>
    <n v="400000"/>
    <n v="5"/>
    <x v="23"/>
    <x v="61"/>
  </r>
  <r>
    <x v="0"/>
    <s v="아펙손정"/>
    <x v="61"/>
    <x v="23"/>
    <s v="페낙손정 반제품 (환인제약)"/>
    <x v="61"/>
    <x v="10"/>
    <s v="롤러콤펙트(서방층)"/>
    <x v="14"/>
    <n v="400000"/>
    <n v="7"/>
    <x v="23"/>
    <x v="61"/>
  </r>
  <r>
    <x v="0"/>
    <s v="아펙손정"/>
    <x v="61"/>
    <x v="23"/>
    <s v="페낙손정 반제품 (환인제약)"/>
    <x v="61"/>
    <x v="3"/>
    <s v="혼합(서방층)"/>
    <x v="5"/>
    <n v="400000"/>
    <n v="3"/>
    <x v="23"/>
    <x v="61"/>
  </r>
  <r>
    <x v="0"/>
    <s v="아펙손정"/>
    <x v="61"/>
    <x v="23"/>
    <s v="페낙손정 반제품 (환인제약)"/>
    <x v="61"/>
    <x v="5"/>
    <s v="혼합(아펜탈층)"/>
    <x v="5"/>
    <n v="400000"/>
    <n v="3"/>
    <x v="23"/>
    <x v="61"/>
  </r>
  <r>
    <x v="0"/>
    <s v="아펙손정"/>
    <x v="61"/>
    <x v="23"/>
    <s v="페낙손정 반제품 (환인제약)"/>
    <x v="61"/>
    <x v="8"/>
    <s v="타정"/>
    <x v="17"/>
    <n v="400000"/>
    <n v="23"/>
    <x v="23"/>
    <x v="61"/>
  </r>
  <r>
    <x v="0"/>
    <s v="아펙손정"/>
    <x v="61"/>
    <x v="23"/>
    <s v="페낙손정 반제품 (환인제약)"/>
    <x v="61"/>
    <x v="0"/>
    <s v="코팅"/>
    <x v="0"/>
    <n v="400000"/>
    <n v="12"/>
    <x v="23"/>
    <x v="61"/>
  </r>
  <r>
    <x v="0"/>
    <s v="아펙손정"/>
    <x v="61"/>
    <x v="23"/>
    <s v="페낙손정 반제품 (환인제약)"/>
    <x v="61"/>
    <x v="11"/>
    <s v="인쇄"/>
    <x v="16"/>
    <n v="400000"/>
    <n v="7"/>
    <x v="23"/>
    <x v="61"/>
  </r>
  <r>
    <x v="0"/>
    <s v="아펙손정"/>
    <x v="61"/>
    <x v="23"/>
    <s v="페낙손정 반제품 (환인제약)"/>
    <x v="61"/>
    <x v="1"/>
    <s v="선별"/>
    <x v="1"/>
    <n v="400000"/>
    <n v="6"/>
    <x v="23"/>
    <x v="61"/>
  </r>
  <r>
    <x v="0"/>
    <s v="아펜탈정 100MG"/>
    <x v="62"/>
    <x v="24"/>
    <s v="아펜탈정100MG 반제품"/>
    <x v="62"/>
    <x v="2"/>
    <s v="과립"/>
    <x v="4"/>
    <n v="800000"/>
    <n v="19"/>
    <x v="24"/>
    <x v="62"/>
  </r>
  <r>
    <x v="0"/>
    <s v="아펜탈정 100MG"/>
    <x v="63"/>
    <x v="24"/>
    <s v="아펜탈정100MG 반제품"/>
    <x v="63"/>
    <x v="2"/>
    <s v="과립"/>
    <x v="4"/>
    <n v="800000"/>
    <n v="19"/>
    <x v="24"/>
    <x v="63"/>
  </r>
  <r>
    <x v="0"/>
    <s v="아펜탈정 100MG"/>
    <x v="62"/>
    <x v="24"/>
    <s v="아펜탈정100MG 반제품"/>
    <x v="62"/>
    <x v="3"/>
    <s v="혼합"/>
    <x v="5"/>
    <n v="800000"/>
    <n v="6"/>
    <x v="24"/>
    <x v="62"/>
  </r>
  <r>
    <x v="0"/>
    <s v="아펜탈정 100MG"/>
    <x v="63"/>
    <x v="24"/>
    <s v="아펜탈정100MG 반제품"/>
    <x v="63"/>
    <x v="3"/>
    <s v="혼합"/>
    <x v="5"/>
    <n v="800000"/>
    <n v="6"/>
    <x v="24"/>
    <x v="63"/>
  </r>
  <r>
    <x v="0"/>
    <s v="아펜탈정 100MG"/>
    <x v="64"/>
    <x v="24"/>
    <s v="아펜탈정100MG 반제품"/>
    <x v="64"/>
    <x v="8"/>
    <s v="타정"/>
    <x v="17"/>
    <n v="800000"/>
    <n v="27"/>
    <x v="24"/>
    <x v="64"/>
  </r>
  <r>
    <x v="0"/>
    <s v="아펜탈정 100MG"/>
    <x v="65"/>
    <x v="24"/>
    <s v="아펜탈정100MG 반제품"/>
    <x v="65"/>
    <x v="8"/>
    <s v="타정"/>
    <x v="17"/>
    <n v="800000"/>
    <n v="27"/>
    <x v="24"/>
    <x v="65"/>
  </r>
  <r>
    <x v="0"/>
    <s v="아펜탈정 100MG"/>
    <x v="66"/>
    <x v="24"/>
    <s v="아펜탈정100MG 반제품"/>
    <x v="66"/>
    <x v="8"/>
    <s v="타정"/>
    <x v="17"/>
    <n v="800000"/>
    <n v="27"/>
    <x v="24"/>
    <x v="66"/>
  </r>
  <r>
    <x v="0"/>
    <s v="아펜탈정 100MG"/>
    <x v="67"/>
    <x v="24"/>
    <s v="아펜탈정100MG 반제품"/>
    <x v="67"/>
    <x v="8"/>
    <s v="타정"/>
    <x v="17"/>
    <n v="800000"/>
    <n v="27"/>
    <x v="24"/>
    <x v="67"/>
  </r>
  <r>
    <x v="0"/>
    <s v="아펜탈정 100MG"/>
    <x v="62"/>
    <x v="24"/>
    <s v="아펜탈정100MG 반제품"/>
    <x v="62"/>
    <x v="8"/>
    <s v="타정"/>
    <x v="17"/>
    <n v="800000"/>
    <n v="27"/>
    <x v="24"/>
    <x v="62"/>
  </r>
  <r>
    <x v="0"/>
    <s v="아펜탈정 100MG"/>
    <x v="63"/>
    <x v="24"/>
    <s v="아펜탈정100MG 반제품"/>
    <x v="63"/>
    <x v="8"/>
    <s v="타정"/>
    <x v="17"/>
    <n v="800000"/>
    <n v="27"/>
    <x v="24"/>
    <x v="63"/>
  </r>
  <r>
    <x v="0"/>
    <s v="아펜탈정 100MG"/>
    <x v="64"/>
    <x v="24"/>
    <s v="아펜탈정100MG 반제품"/>
    <x v="64"/>
    <x v="0"/>
    <s v="코팅"/>
    <x v="6"/>
    <n v="800000"/>
    <n v="18"/>
    <x v="24"/>
    <x v="64"/>
  </r>
  <r>
    <x v="0"/>
    <s v="아펜탈정 100MG"/>
    <x v="65"/>
    <x v="24"/>
    <s v="아펜탈정100MG 반제품"/>
    <x v="65"/>
    <x v="0"/>
    <s v="코팅"/>
    <x v="6"/>
    <n v="800000"/>
    <n v="18"/>
    <x v="24"/>
    <x v="65"/>
  </r>
  <r>
    <x v="0"/>
    <s v="아펜탈정 100MG"/>
    <x v="66"/>
    <x v="24"/>
    <s v="아펜탈정100MG 반제품"/>
    <x v="66"/>
    <x v="0"/>
    <s v="코팅"/>
    <x v="6"/>
    <n v="800000"/>
    <n v="18"/>
    <x v="24"/>
    <x v="66"/>
  </r>
  <r>
    <x v="0"/>
    <s v="아펜탈정 100MG"/>
    <x v="67"/>
    <x v="24"/>
    <s v="아펜탈정100MG 반제품"/>
    <x v="67"/>
    <x v="0"/>
    <s v="코팅"/>
    <x v="6"/>
    <n v="800000"/>
    <n v="18"/>
    <x v="24"/>
    <x v="67"/>
  </r>
  <r>
    <x v="0"/>
    <s v="아펜탈정 100MG"/>
    <x v="62"/>
    <x v="24"/>
    <s v="아펜탈정100MG 반제품"/>
    <x v="62"/>
    <x v="0"/>
    <s v="코팅"/>
    <x v="6"/>
    <n v="800000"/>
    <n v="18"/>
    <x v="24"/>
    <x v="62"/>
  </r>
  <r>
    <x v="0"/>
    <s v="아펜탈정 100MG"/>
    <x v="63"/>
    <x v="24"/>
    <s v="아펜탈정100MG 반제품"/>
    <x v="63"/>
    <x v="0"/>
    <s v="코팅"/>
    <x v="6"/>
    <n v="800000"/>
    <n v="18"/>
    <x v="24"/>
    <x v="63"/>
  </r>
  <r>
    <x v="0"/>
    <s v="아펜탈정 100MG"/>
    <x v="66"/>
    <x v="24"/>
    <s v="아펜탈정100MG 반제품"/>
    <x v="66"/>
    <x v="11"/>
    <s v="인쇄"/>
    <x v="16"/>
    <n v="800000"/>
    <n v="10"/>
    <x v="24"/>
    <x v="66"/>
  </r>
  <r>
    <x v="0"/>
    <s v="아펜탈정 100MG"/>
    <x v="67"/>
    <x v="24"/>
    <s v="아펜탈정100MG 반제품"/>
    <x v="67"/>
    <x v="11"/>
    <s v="인쇄"/>
    <x v="16"/>
    <n v="800000"/>
    <n v="10"/>
    <x v="24"/>
    <x v="67"/>
  </r>
  <r>
    <x v="0"/>
    <s v="아펜탈정 100MG"/>
    <x v="62"/>
    <x v="24"/>
    <s v="아펜탈정100MG 반제품"/>
    <x v="62"/>
    <x v="11"/>
    <s v="인쇄"/>
    <x v="16"/>
    <n v="800000"/>
    <n v="10"/>
    <x v="24"/>
    <x v="62"/>
  </r>
  <r>
    <x v="0"/>
    <s v="아펜탈정 100MG"/>
    <x v="63"/>
    <x v="24"/>
    <s v="아펜탈정100MG 반제품"/>
    <x v="63"/>
    <x v="11"/>
    <s v="인쇄"/>
    <x v="16"/>
    <n v="800000"/>
    <n v="10"/>
    <x v="24"/>
    <x v="63"/>
  </r>
  <r>
    <x v="0"/>
    <s v="아펜탈정 100MG"/>
    <x v="64"/>
    <x v="24"/>
    <s v="아펜탈정100MG 반제품"/>
    <x v="64"/>
    <x v="1"/>
    <s v="선별"/>
    <x v="1"/>
    <n v="800000"/>
    <n v="10"/>
    <x v="24"/>
    <x v="64"/>
  </r>
  <r>
    <x v="0"/>
    <s v="아펜탈정 100MG"/>
    <x v="65"/>
    <x v="24"/>
    <s v="아펜탈정100MG 반제품"/>
    <x v="65"/>
    <x v="1"/>
    <s v="선별"/>
    <x v="1"/>
    <n v="800000"/>
    <n v="10"/>
    <x v="24"/>
    <x v="65"/>
  </r>
  <r>
    <x v="0"/>
    <s v="아펜탈정 100MG"/>
    <x v="66"/>
    <x v="24"/>
    <s v="아펜탈정100MG 반제품"/>
    <x v="66"/>
    <x v="1"/>
    <s v="선별"/>
    <x v="1"/>
    <n v="800000"/>
    <n v="10"/>
    <x v="24"/>
    <x v="66"/>
  </r>
  <r>
    <x v="0"/>
    <s v="아펜탈정 100MG"/>
    <x v="67"/>
    <x v="24"/>
    <s v="아펜탈정100MG 반제품"/>
    <x v="67"/>
    <x v="1"/>
    <s v="선별"/>
    <x v="1"/>
    <n v="800000"/>
    <n v="10"/>
    <x v="24"/>
    <x v="67"/>
  </r>
  <r>
    <x v="0"/>
    <s v="아펜탈정 100MG"/>
    <x v="62"/>
    <x v="24"/>
    <s v="아펜탈정100MG 반제품"/>
    <x v="62"/>
    <x v="1"/>
    <s v="선별"/>
    <x v="1"/>
    <n v="800000"/>
    <n v="10"/>
    <x v="24"/>
    <x v="62"/>
  </r>
  <r>
    <x v="0"/>
    <s v="아펜탈정 100MG"/>
    <x v="63"/>
    <x v="24"/>
    <s v="아펜탈정100MG 반제품"/>
    <x v="63"/>
    <x v="1"/>
    <s v="선별"/>
    <x v="1"/>
    <n v="800000"/>
    <n v="10"/>
    <x v="24"/>
    <x v="63"/>
  </r>
  <r>
    <x v="0"/>
    <s v="아펜탈정 100MG"/>
    <x v="68"/>
    <x v="25"/>
    <s v="세클로낙정100MG 반제품 (종근당)"/>
    <x v="68"/>
    <x v="8"/>
    <s v="타정"/>
    <x v="11"/>
    <n v="800000"/>
    <n v="27"/>
    <x v="25"/>
    <x v="68"/>
  </r>
  <r>
    <x v="0"/>
    <s v="아펜탈정 100MG"/>
    <x v="68"/>
    <x v="25"/>
    <s v="세클로낙정100MG 반제품 (종근당)"/>
    <x v="68"/>
    <x v="0"/>
    <s v="코팅"/>
    <x v="6"/>
    <n v="800000"/>
    <n v="18"/>
    <x v="25"/>
    <x v="68"/>
  </r>
  <r>
    <x v="0"/>
    <s v="아펜탈정 100MG"/>
    <x v="68"/>
    <x v="25"/>
    <s v="세클로낙정100MG 반제품 (종근당)"/>
    <x v="68"/>
    <x v="1"/>
    <s v="선별"/>
    <x v="7"/>
    <n v="800000"/>
    <n v="10"/>
    <x v="25"/>
    <x v="68"/>
  </r>
  <r>
    <x v="0"/>
    <s v="안탁스캡슐 180MG"/>
    <x v="69"/>
    <x v="26"/>
    <s v="안탁스캡슐180MG 반제품"/>
    <x v="69"/>
    <x v="7"/>
    <s v="캡슐충전"/>
    <x v="9"/>
    <n v="1000000"/>
    <n v="36"/>
    <x v="26"/>
    <x v="69"/>
  </r>
  <r>
    <x v="0"/>
    <s v="안탁스캡슐 180MG"/>
    <x v="69"/>
    <x v="26"/>
    <s v="안탁스캡슐180MG 반제품"/>
    <x v="69"/>
    <x v="7"/>
    <s v="캡슐충전"/>
    <x v="9"/>
    <n v="1000000"/>
    <n v="36"/>
    <x v="26"/>
    <x v="69"/>
  </r>
  <r>
    <x v="0"/>
    <s v="안탁스캡슐 180MG"/>
    <x v="69"/>
    <x v="26"/>
    <s v="안탁스캡슐180MG 반제품"/>
    <x v="69"/>
    <x v="7"/>
    <s v="캡슐충전"/>
    <x v="9"/>
    <n v="1000000"/>
    <n v="36"/>
    <x v="26"/>
    <x v="69"/>
  </r>
  <r>
    <x v="0"/>
    <s v="안탁스캡슐 180MG"/>
    <x v="70"/>
    <x v="26"/>
    <s v="안탁스캡슐180MG 반제품"/>
    <x v="70"/>
    <x v="7"/>
    <s v="캡슐충전"/>
    <x v="9"/>
    <n v="1000000"/>
    <n v="36"/>
    <x v="26"/>
    <x v="70"/>
  </r>
  <r>
    <x v="0"/>
    <s v="안탁스캡슐 180MG"/>
    <x v="70"/>
    <x v="26"/>
    <s v="안탁스캡슐180MG 반제품"/>
    <x v="70"/>
    <x v="7"/>
    <s v="캡슐충전"/>
    <x v="9"/>
    <n v="1000000"/>
    <n v="36"/>
    <x v="26"/>
    <x v="70"/>
  </r>
  <r>
    <x v="0"/>
    <s v="안탁스캡슐 180MG"/>
    <x v="70"/>
    <x v="26"/>
    <s v="안탁스캡슐180MG 반제품"/>
    <x v="70"/>
    <x v="7"/>
    <s v="캡슐충전"/>
    <x v="9"/>
    <n v="1000000"/>
    <n v="36"/>
    <x v="26"/>
    <x v="70"/>
  </r>
  <r>
    <x v="0"/>
    <s v="안탁스캡슐 180MG"/>
    <x v="69"/>
    <x v="26"/>
    <s v="안탁스캡슐180MG 반제품"/>
    <x v="69"/>
    <x v="1"/>
    <s v="선별"/>
    <x v="7"/>
    <n v="1000000"/>
    <n v="29"/>
    <x v="26"/>
    <x v="69"/>
  </r>
  <r>
    <x v="0"/>
    <s v="안탁스캡슐 180MG"/>
    <x v="69"/>
    <x v="26"/>
    <s v="안탁스캡슐180MG 반제품"/>
    <x v="69"/>
    <x v="1"/>
    <s v="선별"/>
    <x v="7"/>
    <n v="1000000"/>
    <n v="29"/>
    <x v="26"/>
    <x v="69"/>
  </r>
  <r>
    <x v="0"/>
    <s v="안탁스캡슐 180MG"/>
    <x v="69"/>
    <x v="26"/>
    <s v="안탁스캡슐180MG 반제품"/>
    <x v="69"/>
    <x v="1"/>
    <s v="선별"/>
    <x v="7"/>
    <n v="1000000"/>
    <n v="37"/>
    <x v="26"/>
    <x v="69"/>
  </r>
  <r>
    <x v="0"/>
    <s v="안탁스캡슐 180MG"/>
    <x v="70"/>
    <x v="26"/>
    <s v="안탁스캡슐180MG 반제품"/>
    <x v="70"/>
    <x v="1"/>
    <s v="선별"/>
    <x v="7"/>
    <n v="1000000"/>
    <n v="29"/>
    <x v="26"/>
    <x v="70"/>
  </r>
  <r>
    <x v="0"/>
    <s v="안탁스캡슐 180MG"/>
    <x v="70"/>
    <x v="26"/>
    <s v="안탁스캡슐180MG 반제품"/>
    <x v="70"/>
    <x v="1"/>
    <s v="선별"/>
    <x v="7"/>
    <n v="1000000"/>
    <n v="29"/>
    <x v="26"/>
    <x v="70"/>
  </r>
  <r>
    <x v="0"/>
    <s v="안탁스캡슐 180MG"/>
    <x v="70"/>
    <x v="26"/>
    <s v="안탁스캡슐180MG 반제품"/>
    <x v="70"/>
    <x v="1"/>
    <s v="선별"/>
    <x v="7"/>
    <n v="1000000"/>
    <n v="37"/>
    <x v="26"/>
    <x v="70"/>
  </r>
  <r>
    <x v="0"/>
    <s v="안탁스캡슐 180MG"/>
    <x v="69"/>
    <x v="26"/>
    <s v="안탁스캡슐180MG 반제품"/>
    <x v="69"/>
    <x v="6"/>
    <s v="질량선별"/>
    <x v="8"/>
    <n v="1000000"/>
    <n v="55"/>
    <x v="26"/>
    <x v="69"/>
  </r>
  <r>
    <x v="0"/>
    <s v="안탁스캡슐 180MG"/>
    <x v="69"/>
    <x v="26"/>
    <s v="안탁스캡슐180MG 반제품"/>
    <x v="69"/>
    <x v="6"/>
    <s v="질량선별"/>
    <x v="8"/>
    <n v="1000000"/>
    <n v="55"/>
    <x v="26"/>
    <x v="69"/>
  </r>
  <r>
    <x v="0"/>
    <s v="안탁스캡슐 180MG"/>
    <x v="69"/>
    <x v="26"/>
    <s v="안탁스캡슐180MG 반제품"/>
    <x v="69"/>
    <x v="6"/>
    <s v="질량선별"/>
    <x v="8"/>
    <n v="1000000"/>
    <n v="73"/>
    <x v="26"/>
    <x v="69"/>
  </r>
  <r>
    <x v="0"/>
    <s v="안탁스캡슐 180MG"/>
    <x v="70"/>
    <x v="26"/>
    <s v="안탁스캡슐180MG 반제품"/>
    <x v="70"/>
    <x v="6"/>
    <s v="질량선별"/>
    <x v="8"/>
    <n v="1000000"/>
    <n v="55"/>
    <x v="26"/>
    <x v="70"/>
  </r>
  <r>
    <x v="0"/>
    <s v="안탁스캡슐 180MG"/>
    <x v="70"/>
    <x v="26"/>
    <s v="안탁스캡슐180MG 반제품"/>
    <x v="70"/>
    <x v="6"/>
    <s v="질량선별"/>
    <x v="8"/>
    <n v="1000000"/>
    <n v="55"/>
    <x v="26"/>
    <x v="70"/>
  </r>
  <r>
    <x v="0"/>
    <s v="안탁스캡슐 180MG"/>
    <x v="70"/>
    <x v="26"/>
    <s v="안탁스캡슐180MG 반제품"/>
    <x v="70"/>
    <x v="6"/>
    <s v="질량선별"/>
    <x v="8"/>
    <n v="1000000"/>
    <n v="73"/>
    <x v="26"/>
    <x v="70"/>
  </r>
  <r>
    <x v="0"/>
    <s v="엑손SR정 75MG"/>
    <x v="71"/>
    <x v="27"/>
    <s v="네렉손서방정75MG 반제품 (대원제약)"/>
    <x v="71"/>
    <x v="8"/>
    <s v="타정"/>
    <x v="18"/>
    <n v="800000"/>
    <n v="20"/>
    <x v="27"/>
    <x v="71"/>
  </r>
  <r>
    <x v="0"/>
    <s v="엑손SR정 75MG"/>
    <x v="72"/>
    <x v="27"/>
    <s v="네렉손서방정75MG 반제품 (대원제약)"/>
    <x v="72"/>
    <x v="8"/>
    <s v="타정"/>
    <x v="18"/>
    <n v="800000"/>
    <n v="20"/>
    <x v="27"/>
    <x v="72"/>
  </r>
  <r>
    <x v="0"/>
    <s v="엑손SR정 75MG"/>
    <x v="73"/>
    <x v="27"/>
    <s v="네렉손서방정75MG 반제품 (대원제약)"/>
    <x v="73"/>
    <x v="8"/>
    <s v="타정"/>
    <x v="18"/>
    <n v="800000"/>
    <n v="20"/>
    <x v="27"/>
    <x v="73"/>
  </r>
  <r>
    <x v="0"/>
    <s v="엑손SR정 75MG"/>
    <x v="71"/>
    <x v="27"/>
    <s v="네렉손서방정75MG 반제품 (대원제약)"/>
    <x v="71"/>
    <x v="0"/>
    <s v="코팅"/>
    <x v="0"/>
    <n v="800000"/>
    <n v="13"/>
    <x v="27"/>
    <x v="71"/>
  </r>
  <r>
    <x v="0"/>
    <s v="엑손SR정 75MG"/>
    <x v="72"/>
    <x v="27"/>
    <s v="네렉손서방정75MG 반제품 (대원제약)"/>
    <x v="72"/>
    <x v="0"/>
    <s v="코팅"/>
    <x v="0"/>
    <n v="800000"/>
    <n v="13"/>
    <x v="27"/>
    <x v="72"/>
  </r>
  <r>
    <x v="0"/>
    <s v="엑손SR정 75MG"/>
    <x v="73"/>
    <x v="27"/>
    <s v="네렉손서방정75MG 반제품 (대원제약)"/>
    <x v="73"/>
    <x v="0"/>
    <s v="코팅"/>
    <x v="0"/>
    <n v="800000"/>
    <n v="13"/>
    <x v="27"/>
    <x v="73"/>
  </r>
  <r>
    <x v="0"/>
    <s v="엑손SR정 75MG"/>
    <x v="71"/>
    <x v="27"/>
    <s v="네렉손서방정75MG 반제품 (대원제약)"/>
    <x v="71"/>
    <x v="11"/>
    <s v="인쇄"/>
    <x v="16"/>
    <n v="800000"/>
    <n v="6"/>
    <x v="27"/>
    <x v="71"/>
  </r>
  <r>
    <x v="0"/>
    <s v="엑손SR정 75MG"/>
    <x v="72"/>
    <x v="27"/>
    <s v="네렉손서방정75MG 반제품 (대원제약)"/>
    <x v="72"/>
    <x v="11"/>
    <s v="인쇄"/>
    <x v="16"/>
    <n v="800000"/>
    <n v="6"/>
    <x v="27"/>
    <x v="72"/>
  </r>
  <r>
    <x v="0"/>
    <s v="엑손SR정 75MG"/>
    <x v="73"/>
    <x v="27"/>
    <s v="네렉손서방정75MG 반제품 (대원제약)"/>
    <x v="73"/>
    <x v="11"/>
    <s v="인쇄"/>
    <x v="16"/>
    <n v="800000"/>
    <n v="6"/>
    <x v="27"/>
    <x v="73"/>
  </r>
  <r>
    <x v="0"/>
    <s v="엑손SR정 75MG"/>
    <x v="71"/>
    <x v="27"/>
    <s v="네렉손서방정75MG 반제품 (대원제약)"/>
    <x v="71"/>
    <x v="1"/>
    <s v="선별"/>
    <x v="10"/>
    <n v="800000"/>
    <n v="6"/>
    <x v="27"/>
    <x v="71"/>
  </r>
  <r>
    <x v="0"/>
    <s v="엑손SR정 75MG"/>
    <x v="72"/>
    <x v="27"/>
    <s v="네렉손서방정75MG 반제품 (대원제약)"/>
    <x v="72"/>
    <x v="1"/>
    <s v="선별"/>
    <x v="10"/>
    <n v="800000"/>
    <n v="6"/>
    <x v="27"/>
    <x v="72"/>
  </r>
  <r>
    <x v="0"/>
    <s v="엑손SR정 75MG"/>
    <x v="73"/>
    <x v="27"/>
    <s v="네렉손서방정75MG 반제품 (대원제약)"/>
    <x v="73"/>
    <x v="1"/>
    <s v="선별"/>
    <x v="10"/>
    <n v="800000"/>
    <n v="6"/>
    <x v="27"/>
    <x v="73"/>
  </r>
  <r>
    <x v="0"/>
    <s v="엑손SR정 75MG"/>
    <x v="74"/>
    <x v="28"/>
    <s v="대웅바이오에페리손서방정75MG 반제품(대웅바이오)"/>
    <x v="74"/>
    <x v="8"/>
    <s v="타정"/>
    <x v="19"/>
    <n v="800000"/>
    <n v="20"/>
    <x v="28"/>
    <x v="74"/>
  </r>
  <r>
    <x v="0"/>
    <s v="엑손SR정 75MG"/>
    <x v="75"/>
    <x v="28"/>
    <s v="대웅바이오에페리손서방정75MG 반제품(대웅바이오)"/>
    <x v="75"/>
    <x v="8"/>
    <s v="타정"/>
    <x v="19"/>
    <n v="800000"/>
    <n v="20"/>
    <x v="28"/>
    <x v="75"/>
  </r>
  <r>
    <x v="0"/>
    <s v="엑손SR정 75MG"/>
    <x v="74"/>
    <x v="28"/>
    <s v="대웅바이오에페리손서방정75MG 반제품(대웅바이오)"/>
    <x v="74"/>
    <x v="0"/>
    <s v="코팅"/>
    <x v="6"/>
    <n v="800000"/>
    <n v="13"/>
    <x v="28"/>
    <x v="74"/>
  </r>
  <r>
    <x v="0"/>
    <s v="엑손SR정 75MG"/>
    <x v="75"/>
    <x v="28"/>
    <s v="대웅바이오에페리손서방정75MG 반제품(대웅바이오)"/>
    <x v="75"/>
    <x v="0"/>
    <s v="코팅"/>
    <x v="6"/>
    <n v="800000"/>
    <n v="13"/>
    <x v="28"/>
    <x v="75"/>
  </r>
  <r>
    <x v="0"/>
    <s v="엑손SR정 75MG"/>
    <x v="74"/>
    <x v="28"/>
    <s v="대웅바이오에페리손서방정75MG 반제품(대웅바이오)"/>
    <x v="74"/>
    <x v="1"/>
    <s v="선별"/>
    <x v="1"/>
    <n v="800000"/>
    <n v="6"/>
    <x v="28"/>
    <x v="74"/>
  </r>
  <r>
    <x v="0"/>
    <s v="엑손SR정 75MG"/>
    <x v="75"/>
    <x v="28"/>
    <s v="대웅바이오에페리손서방정75MG 반제품(대웅바이오)"/>
    <x v="75"/>
    <x v="1"/>
    <s v="선별"/>
    <x v="1"/>
    <n v="800000"/>
    <n v="6"/>
    <x v="28"/>
    <x v="75"/>
  </r>
  <r>
    <x v="0"/>
    <s v="엑손SR정 75MG"/>
    <x v="76"/>
    <x v="29"/>
    <s v="에페날서방정75MG 반제품 (동국제약)"/>
    <x v="76"/>
    <x v="8"/>
    <s v="타정"/>
    <x v="19"/>
    <n v="800000"/>
    <n v="20"/>
    <x v="29"/>
    <x v="76"/>
  </r>
  <r>
    <x v="0"/>
    <s v="엑손SR정 75MG"/>
    <x v="76"/>
    <x v="29"/>
    <s v="에페날서방정75MG 반제품 (동국제약)"/>
    <x v="76"/>
    <x v="0"/>
    <s v="코팅"/>
    <x v="0"/>
    <n v="800000"/>
    <n v="13"/>
    <x v="29"/>
    <x v="76"/>
  </r>
  <r>
    <x v="0"/>
    <s v="엑손SR정 75MG"/>
    <x v="76"/>
    <x v="29"/>
    <s v="에페날서방정75MG 반제품 (동국제약)"/>
    <x v="76"/>
    <x v="11"/>
    <s v="인쇄"/>
    <x v="16"/>
    <n v="800000"/>
    <n v="6"/>
    <x v="29"/>
    <x v="76"/>
  </r>
  <r>
    <x v="0"/>
    <s v="엑손SR정 75MG"/>
    <x v="76"/>
    <x v="29"/>
    <s v="에페날서방정75MG 반제품 (동국제약)"/>
    <x v="76"/>
    <x v="1"/>
    <s v="선별"/>
    <x v="10"/>
    <n v="800000"/>
    <n v="6"/>
    <x v="29"/>
    <x v="76"/>
  </r>
  <r>
    <x v="0"/>
    <s v="엑손SR정 75MG"/>
    <x v="77"/>
    <x v="30"/>
    <s v="엑손SR정75MG 반제품"/>
    <x v="77"/>
    <x v="8"/>
    <s v="타정"/>
    <x v="19"/>
    <n v="800000"/>
    <n v="20"/>
    <x v="30"/>
    <x v="77"/>
  </r>
  <r>
    <x v="0"/>
    <s v="엑손SR정 75MG"/>
    <x v="77"/>
    <x v="30"/>
    <s v="엑손SR정75MG 반제품"/>
    <x v="77"/>
    <x v="8"/>
    <s v="타정"/>
    <x v="19"/>
    <n v="800000"/>
    <n v="20"/>
    <x v="30"/>
    <x v="77"/>
  </r>
  <r>
    <x v="0"/>
    <s v="엑손SR정 75MG"/>
    <x v="78"/>
    <x v="30"/>
    <s v="엑손SR정75MG 반제품"/>
    <x v="78"/>
    <x v="8"/>
    <s v="타정"/>
    <x v="19"/>
    <n v="800000"/>
    <n v="20"/>
    <x v="30"/>
    <x v="78"/>
  </r>
  <r>
    <x v="0"/>
    <s v="엑손SR정 75MG"/>
    <x v="78"/>
    <x v="30"/>
    <s v="엑손SR정75MG 반제품"/>
    <x v="78"/>
    <x v="8"/>
    <s v="타정"/>
    <x v="19"/>
    <n v="800000"/>
    <n v="20"/>
    <x v="30"/>
    <x v="78"/>
  </r>
  <r>
    <x v="0"/>
    <s v="엑손SR정 75MG"/>
    <x v="79"/>
    <x v="30"/>
    <s v="엑손SR정75MG 반제품"/>
    <x v="79"/>
    <x v="8"/>
    <s v="타정"/>
    <x v="19"/>
    <n v="800000"/>
    <n v="20"/>
    <x v="30"/>
    <x v="79"/>
  </r>
  <r>
    <x v="0"/>
    <s v="엑손SR정 75MG"/>
    <x v="79"/>
    <x v="30"/>
    <s v="엑손SR정75MG 반제품"/>
    <x v="79"/>
    <x v="8"/>
    <s v="타정"/>
    <x v="19"/>
    <n v="800000"/>
    <n v="20"/>
    <x v="30"/>
    <x v="79"/>
  </r>
  <r>
    <x v="0"/>
    <s v="엑손SR정 75MG"/>
    <x v="80"/>
    <x v="30"/>
    <s v="엑손SR정75MG 반제품"/>
    <x v="80"/>
    <x v="8"/>
    <s v="타정"/>
    <x v="19"/>
    <n v="800000"/>
    <n v="20"/>
    <x v="30"/>
    <x v="80"/>
  </r>
  <r>
    <x v="0"/>
    <s v="엑손SR정 75MG"/>
    <x v="80"/>
    <x v="30"/>
    <s v="엑손SR정75MG 반제품"/>
    <x v="80"/>
    <x v="8"/>
    <s v="타정"/>
    <x v="19"/>
    <n v="800000"/>
    <n v="20"/>
    <x v="30"/>
    <x v="80"/>
  </r>
  <r>
    <x v="0"/>
    <s v="엑손SR정 75MG"/>
    <x v="77"/>
    <x v="30"/>
    <s v="엑손SR정75MG 반제품"/>
    <x v="77"/>
    <x v="0"/>
    <s v="코팅"/>
    <x v="0"/>
    <n v="800000"/>
    <n v="13"/>
    <x v="30"/>
    <x v="77"/>
  </r>
  <r>
    <x v="0"/>
    <s v="엑손SR정 75MG"/>
    <x v="77"/>
    <x v="30"/>
    <s v="엑손SR정75MG 반제품"/>
    <x v="77"/>
    <x v="0"/>
    <s v="코팅"/>
    <x v="0"/>
    <n v="800000"/>
    <n v="13"/>
    <x v="30"/>
    <x v="77"/>
  </r>
  <r>
    <x v="0"/>
    <s v="엑손SR정 75MG"/>
    <x v="78"/>
    <x v="30"/>
    <s v="엑손SR정75MG 반제품"/>
    <x v="78"/>
    <x v="0"/>
    <s v="코팅"/>
    <x v="0"/>
    <n v="800000"/>
    <n v="13"/>
    <x v="30"/>
    <x v="78"/>
  </r>
  <r>
    <x v="0"/>
    <s v="엑손SR정 75MG"/>
    <x v="78"/>
    <x v="30"/>
    <s v="엑손SR정75MG 반제품"/>
    <x v="78"/>
    <x v="0"/>
    <s v="코팅"/>
    <x v="0"/>
    <n v="800000"/>
    <n v="13"/>
    <x v="30"/>
    <x v="78"/>
  </r>
  <r>
    <x v="0"/>
    <s v="엑손SR정 75MG"/>
    <x v="79"/>
    <x v="30"/>
    <s v="엑손SR정75MG 반제품"/>
    <x v="79"/>
    <x v="0"/>
    <s v="코팅"/>
    <x v="0"/>
    <n v="800000"/>
    <n v="13"/>
    <x v="30"/>
    <x v="79"/>
  </r>
  <r>
    <x v="0"/>
    <s v="엑손SR정 75MG"/>
    <x v="79"/>
    <x v="30"/>
    <s v="엑손SR정75MG 반제품"/>
    <x v="79"/>
    <x v="0"/>
    <s v="코팅"/>
    <x v="0"/>
    <n v="800000"/>
    <n v="13"/>
    <x v="30"/>
    <x v="79"/>
  </r>
  <r>
    <x v="0"/>
    <s v="엑손SR정 75MG"/>
    <x v="80"/>
    <x v="30"/>
    <s v="엑손SR정75MG 반제품"/>
    <x v="80"/>
    <x v="0"/>
    <s v="코팅"/>
    <x v="0"/>
    <n v="800000"/>
    <n v="13"/>
    <x v="30"/>
    <x v="80"/>
  </r>
  <r>
    <x v="0"/>
    <s v="엑손SR정 75MG"/>
    <x v="80"/>
    <x v="30"/>
    <s v="엑손SR정75MG 반제품"/>
    <x v="80"/>
    <x v="0"/>
    <s v="코팅"/>
    <x v="0"/>
    <n v="800000"/>
    <n v="13"/>
    <x v="30"/>
    <x v="80"/>
  </r>
  <r>
    <x v="0"/>
    <s v="엑손SR정 75MG"/>
    <x v="81"/>
    <x v="30"/>
    <s v="엑손SR정75MG 반제품"/>
    <x v="81"/>
    <x v="11"/>
    <s v="인쇄"/>
    <x v="16"/>
    <n v="800000"/>
    <n v="6"/>
    <x v="30"/>
    <x v="81"/>
  </r>
  <r>
    <x v="0"/>
    <s v="엑손SR정 75MG"/>
    <x v="77"/>
    <x v="30"/>
    <s v="엑손SR정75MG 반제품"/>
    <x v="77"/>
    <x v="11"/>
    <s v="인쇄"/>
    <x v="16"/>
    <n v="800000"/>
    <n v="6"/>
    <x v="30"/>
    <x v="77"/>
  </r>
  <r>
    <x v="0"/>
    <s v="엑손SR정 75MG"/>
    <x v="78"/>
    <x v="30"/>
    <s v="엑손SR정75MG 반제품"/>
    <x v="78"/>
    <x v="11"/>
    <s v="인쇄"/>
    <x v="16"/>
    <n v="800000"/>
    <n v="6"/>
    <x v="30"/>
    <x v="78"/>
  </r>
  <r>
    <x v="0"/>
    <s v="엑손SR정 75MG"/>
    <x v="79"/>
    <x v="30"/>
    <s v="엑손SR정75MG 반제품"/>
    <x v="79"/>
    <x v="11"/>
    <s v="인쇄"/>
    <x v="16"/>
    <n v="800000"/>
    <n v="6"/>
    <x v="30"/>
    <x v="79"/>
  </r>
  <r>
    <x v="0"/>
    <s v="엑손SR정 75MG"/>
    <x v="80"/>
    <x v="30"/>
    <s v="엑손SR정75MG 반제품"/>
    <x v="80"/>
    <x v="11"/>
    <s v="인쇄"/>
    <x v="16"/>
    <n v="800000"/>
    <n v="6"/>
    <x v="30"/>
    <x v="80"/>
  </r>
  <r>
    <x v="0"/>
    <s v="엑손SR정 75MG"/>
    <x v="82"/>
    <x v="30"/>
    <s v="엑손SR정75MG 반제품"/>
    <x v="82"/>
    <x v="1"/>
    <s v="선별"/>
    <x v="10"/>
    <n v="800000"/>
    <n v="6"/>
    <x v="30"/>
    <x v="82"/>
  </r>
  <r>
    <x v="0"/>
    <s v="엑손SR정 75MG"/>
    <x v="82"/>
    <x v="30"/>
    <s v="엑손SR정75MG 반제품"/>
    <x v="82"/>
    <x v="1"/>
    <s v="선별"/>
    <x v="10"/>
    <n v="800000"/>
    <n v="6"/>
    <x v="30"/>
    <x v="82"/>
  </r>
  <r>
    <x v="0"/>
    <s v="엑손SR정 75MG"/>
    <x v="83"/>
    <x v="30"/>
    <s v="엑손SR정75MG 반제품"/>
    <x v="83"/>
    <x v="1"/>
    <s v="선별"/>
    <x v="10"/>
    <n v="800000"/>
    <n v="6"/>
    <x v="30"/>
    <x v="83"/>
  </r>
  <r>
    <x v="0"/>
    <s v="엑손SR정 75MG"/>
    <x v="83"/>
    <x v="30"/>
    <s v="엑손SR정75MG 반제품"/>
    <x v="83"/>
    <x v="1"/>
    <s v="선별"/>
    <x v="10"/>
    <n v="800000"/>
    <n v="6"/>
    <x v="30"/>
    <x v="83"/>
  </r>
  <r>
    <x v="0"/>
    <s v="엑손SR정 75MG"/>
    <x v="81"/>
    <x v="30"/>
    <s v="엑손SR정75MG 반제품"/>
    <x v="81"/>
    <x v="1"/>
    <s v="선별"/>
    <x v="10"/>
    <n v="800000"/>
    <n v="6"/>
    <x v="30"/>
    <x v="81"/>
  </r>
  <r>
    <x v="0"/>
    <s v="엑손SR정 75MG"/>
    <x v="81"/>
    <x v="30"/>
    <s v="엑손SR정75MG 반제품"/>
    <x v="81"/>
    <x v="1"/>
    <s v="선별"/>
    <x v="10"/>
    <n v="800000"/>
    <n v="6"/>
    <x v="30"/>
    <x v="81"/>
  </r>
  <r>
    <x v="0"/>
    <s v="엑손SR정 75MG"/>
    <x v="77"/>
    <x v="30"/>
    <s v="엑손SR정75MG 반제품"/>
    <x v="77"/>
    <x v="1"/>
    <s v="선별"/>
    <x v="10"/>
    <n v="800000"/>
    <n v="6"/>
    <x v="30"/>
    <x v="77"/>
  </r>
  <r>
    <x v="0"/>
    <s v="엑손SR정 75MG"/>
    <x v="77"/>
    <x v="30"/>
    <s v="엑손SR정75MG 반제품"/>
    <x v="77"/>
    <x v="1"/>
    <s v="선별"/>
    <x v="10"/>
    <n v="800000"/>
    <n v="6"/>
    <x v="30"/>
    <x v="77"/>
  </r>
  <r>
    <x v="0"/>
    <s v="엑손SR정 75MG"/>
    <x v="78"/>
    <x v="30"/>
    <s v="엑손SR정75MG 반제품"/>
    <x v="78"/>
    <x v="1"/>
    <s v="선별"/>
    <x v="10"/>
    <n v="800000"/>
    <n v="6"/>
    <x v="30"/>
    <x v="78"/>
  </r>
  <r>
    <x v="0"/>
    <s v="엑손SR정 75MG"/>
    <x v="78"/>
    <x v="30"/>
    <s v="엑손SR정75MG 반제품"/>
    <x v="78"/>
    <x v="1"/>
    <s v="선별"/>
    <x v="10"/>
    <n v="800000"/>
    <n v="6"/>
    <x v="30"/>
    <x v="78"/>
  </r>
  <r>
    <x v="0"/>
    <s v="엑손SR정 75MG"/>
    <x v="79"/>
    <x v="30"/>
    <s v="엑손SR정75MG 반제품"/>
    <x v="79"/>
    <x v="1"/>
    <s v="선별"/>
    <x v="10"/>
    <n v="800000"/>
    <n v="6"/>
    <x v="30"/>
    <x v="79"/>
  </r>
  <r>
    <x v="0"/>
    <s v="엑손SR정 75MG"/>
    <x v="79"/>
    <x v="30"/>
    <s v="엑손SR정75MG 반제품"/>
    <x v="79"/>
    <x v="1"/>
    <s v="선별"/>
    <x v="10"/>
    <n v="800000"/>
    <n v="6"/>
    <x v="30"/>
    <x v="79"/>
  </r>
  <r>
    <x v="0"/>
    <s v="엑손SR정 75MG"/>
    <x v="80"/>
    <x v="30"/>
    <s v="엑손SR정75MG 반제품"/>
    <x v="80"/>
    <x v="1"/>
    <s v="선별"/>
    <x v="10"/>
    <n v="800000"/>
    <n v="6"/>
    <x v="30"/>
    <x v="80"/>
  </r>
  <r>
    <x v="0"/>
    <s v="엑손SR정 75MG"/>
    <x v="80"/>
    <x v="30"/>
    <s v="엑손SR정75MG 반제품"/>
    <x v="80"/>
    <x v="1"/>
    <s v="선별"/>
    <x v="10"/>
    <n v="800000"/>
    <n v="6"/>
    <x v="30"/>
    <x v="80"/>
  </r>
  <r>
    <x v="0"/>
    <s v="엑손SR정 75MG"/>
    <x v="84"/>
    <x v="31"/>
    <s v="글로에리손SR서방정75MG 반제품 (킵스바이오파마)"/>
    <x v="84"/>
    <x v="8"/>
    <s v="타정"/>
    <x v="18"/>
    <n v="800000"/>
    <n v="20"/>
    <x v="31"/>
    <x v="84"/>
  </r>
  <r>
    <x v="0"/>
    <s v="엑손SR정 75MG"/>
    <x v="84"/>
    <x v="31"/>
    <s v="글로에리손SR서방정75MG 반제품 (킵스바이오파마)"/>
    <x v="84"/>
    <x v="0"/>
    <s v="코팅"/>
    <x v="6"/>
    <n v="800000"/>
    <n v="13"/>
    <x v="31"/>
    <x v="84"/>
  </r>
  <r>
    <x v="0"/>
    <s v="엑손SR정 75MG"/>
    <x v="84"/>
    <x v="31"/>
    <s v="글로에리손SR서방정75MG 반제품 (킵스바이오파마)"/>
    <x v="84"/>
    <x v="11"/>
    <s v="인쇄"/>
    <x v="16"/>
    <n v="800000"/>
    <n v="6"/>
    <x v="31"/>
    <x v="84"/>
  </r>
  <r>
    <x v="0"/>
    <s v="엑손SR정 75MG"/>
    <x v="84"/>
    <x v="31"/>
    <s v="글로에리손SR서방정75MG 반제품 (킵스바이오파마)"/>
    <x v="84"/>
    <x v="1"/>
    <s v="선별"/>
    <x v="10"/>
    <n v="800000"/>
    <n v="6"/>
    <x v="31"/>
    <x v="84"/>
  </r>
  <r>
    <x v="0"/>
    <s v="엑손SR정 75MG"/>
    <x v="85"/>
    <x v="32"/>
    <s v="에펜서방정75MG 반제품 (경동제약)"/>
    <x v="85"/>
    <x v="8"/>
    <s v="타정"/>
    <x v="18"/>
    <n v="800000"/>
    <n v="20"/>
    <x v="32"/>
    <x v="85"/>
  </r>
  <r>
    <x v="0"/>
    <s v="엑손SR정 75MG"/>
    <x v="85"/>
    <x v="32"/>
    <s v="에펜서방정75MG 반제품 (경동제약)"/>
    <x v="85"/>
    <x v="0"/>
    <s v="코팅"/>
    <x v="6"/>
    <n v="800000"/>
    <n v="13"/>
    <x v="32"/>
    <x v="85"/>
  </r>
  <r>
    <x v="0"/>
    <s v="엑손SR정 75MG"/>
    <x v="85"/>
    <x v="32"/>
    <s v="에펜서방정75MG 반제품 (경동제약)"/>
    <x v="85"/>
    <x v="11"/>
    <s v="인쇄"/>
    <x v="16"/>
    <n v="800000"/>
    <n v="6"/>
    <x v="32"/>
    <x v="85"/>
  </r>
  <r>
    <x v="0"/>
    <s v="엑손SR정 75MG"/>
    <x v="85"/>
    <x v="32"/>
    <s v="에펜서방정75MG 반제품 (경동제약)"/>
    <x v="85"/>
    <x v="1"/>
    <s v="선별"/>
    <x v="1"/>
    <n v="800000"/>
    <n v="6"/>
    <x v="32"/>
    <x v="85"/>
  </r>
  <r>
    <x v="0"/>
    <s v="엑손SR정 75MG"/>
    <x v="86"/>
    <x v="33"/>
    <s v="에릭손SR정75MG 반제품 (국제약품)"/>
    <x v="86"/>
    <x v="0"/>
    <s v="코팅"/>
    <x v="0"/>
    <n v="800000"/>
    <n v="13"/>
    <x v="33"/>
    <x v="86"/>
  </r>
  <r>
    <x v="0"/>
    <s v="엑손SR정 75MG"/>
    <x v="86"/>
    <x v="33"/>
    <s v="에릭손SR정75MG 반제품 (국제약품)"/>
    <x v="86"/>
    <x v="11"/>
    <s v="인쇄"/>
    <x v="16"/>
    <n v="800000"/>
    <n v="6"/>
    <x v="33"/>
    <x v="86"/>
  </r>
  <r>
    <x v="0"/>
    <s v="엑손SR정 75MG"/>
    <x v="86"/>
    <x v="33"/>
    <s v="에릭손SR정75MG 반제품 (국제약품)"/>
    <x v="86"/>
    <x v="1"/>
    <s v="선별"/>
    <x v="1"/>
    <n v="800000"/>
    <n v="6"/>
    <x v="33"/>
    <x v="86"/>
  </r>
  <r>
    <x v="0"/>
    <s v="엑손정 50MG"/>
    <x v="87"/>
    <x v="34"/>
    <s v="엑소닌정50MG 반제품 (SK)"/>
    <x v="87"/>
    <x v="12"/>
    <s v="당의"/>
    <x v="20"/>
    <n v="1000000"/>
    <n v="27"/>
    <x v="34"/>
    <x v="87"/>
  </r>
  <r>
    <x v="0"/>
    <s v="엑손정 50MG"/>
    <x v="87"/>
    <x v="34"/>
    <s v="엑소닌정50MG 반제품 (SK)"/>
    <x v="87"/>
    <x v="1"/>
    <s v="선별"/>
    <x v="1"/>
    <n v="1000000"/>
    <n v="16"/>
    <x v="34"/>
    <x v="87"/>
  </r>
  <r>
    <x v="0"/>
    <s v="엑손정 50MG"/>
    <x v="20"/>
    <x v="35"/>
    <s v="에펠정(에이프로젠)50MG 반제품 (에이프로젠)"/>
    <x v="88"/>
    <x v="8"/>
    <s v="타정"/>
    <x v="19"/>
    <n v="1000000"/>
    <n v="23"/>
    <x v="35"/>
    <x v="88"/>
  </r>
  <r>
    <x v="0"/>
    <s v="엑손정 50MG"/>
    <x v="20"/>
    <x v="35"/>
    <s v="에펠정(에이프로젠)50MG 반제품 (에이프로젠)"/>
    <x v="88"/>
    <x v="12"/>
    <s v="당의"/>
    <x v="20"/>
    <n v="1000000"/>
    <n v="27"/>
    <x v="35"/>
    <x v="88"/>
  </r>
  <r>
    <x v="0"/>
    <s v="엑손정 50MG"/>
    <x v="20"/>
    <x v="35"/>
    <s v="에펠정(에이프로젠)50MG 반제품 (에이프로젠)"/>
    <x v="88"/>
    <x v="11"/>
    <s v="인쇄"/>
    <x v="16"/>
    <n v="1000000"/>
    <n v="12"/>
    <x v="35"/>
    <x v="88"/>
  </r>
  <r>
    <x v="0"/>
    <s v="엑손정 50MG"/>
    <x v="20"/>
    <x v="35"/>
    <s v="에펠정(에이프로젠)50MG 반제품 (에이프로젠)"/>
    <x v="88"/>
    <x v="1"/>
    <s v="선별"/>
    <x v="1"/>
    <n v="1000000"/>
    <n v="16"/>
    <x v="35"/>
    <x v="88"/>
  </r>
  <r>
    <x v="0"/>
    <s v="엑손정 50MG"/>
    <x v="20"/>
    <x v="36"/>
    <s v="에페프린정50MG 반제품 (한화제약)"/>
    <x v="89"/>
    <x v="12"/>
    <s v="당의"/>
    <x v="20"/>
    <n v="1000000"/>
    <n v="27"/>
    <x v="36"/>
    <x v="89"/>
  </r>
  <r>
    <x v="0"/>
    <s v="엑손정 50MG"/>
    <x v="20"/>
    <x v="36"/>
    <s v="에페프린정50MG 반제품 (한화제약)"/>
    <x v="89"/>
    <x v="11"/>
    <s v="인쇄"/>
    <x v="16"/>
    <n v="1000000"/>
    <n v="12"/>
    <x v="36"/>
    <x v="89"/>
  </r>
  <r>
    <x v="0"/>
    <s v="엑손정 50MG"/>
    <x v="20"/>
    <x v="36"/>
    <s v="에페프린정50MG 반제품 (한화제약)"/>
    <x v="89"/>
    <x v="1"/>
    <s v="선별"/>
    <x v="1"/>
    <n v="1000000"/>
    <n v="16"/>
    <x v="36"/>
    <x v="89"/>
  </r>
  <r>
    <x v="0"/>
    <s v="엑손정 50MG"/>
    <x v="88"/>
    <x v="37"/>
    <s v="대웅바이오에페리손정50MG 반제품 (대웅바이오)"/>
    <x v="90"/>
    <x v="8"/>
    <s v="타정"/>
    <x v="19"/>
    <n v="1000000"/>
    <n v="23"/>
    <x v="37"/>
    <x v="90"/>
  </r>
  <r>
    <x v="0"/>
    <s v="엑손정 50MG"/>
    <x v="89"/>
    <x v="37"/>
    <s v="대웅바이오에페리손정50MG 반제품 (대웅바이오)"/>
    <x v="91"/>
    <x v="12"/>
    <s v="당의"/>
    <x v="20"/>
    <n v="1000000"/>
    <n v="27"/>
    <x v="37"/>
    <x v="91"/>
  </r>
  <r>
    <x v="0"/>
    <s v="엑손정 50MG"/>
    <x v="88"/>
    <x v="37"/>
    <s v="대웅바이오에페리손정50MG 반제품 (대웅바이오)"/>
    <x v="90"/>
    <x v="12"/>
    <s v="당의"/>
    <x v="20"/>
    <n v="1000000"/>
    <n v="27"/>
    <x v="37"/>
    <x v="90"/>
  </r>
  <r>
    <x v="0"/>
    <s v="엑손정 50MG"/>
    <x v="89"/>
    <x v="37"/>
    <s v="대웅바이오에페리손정50MG 반제품 (대웅바이오)"/>
    <x v="91"/>
    <x v="11"/>
    <s v="인쇄"/>
    <x v="16"/>
    <n v="1000000"/>
    <n v="12"/>
    <x v="37"/>
    <x v="91"/>
  </r>
  <r>
    <x v="0"/>
    <s v="엑손정 50MG"/>
    <x v="88"/>
    <x v="37"/>
    <s v="대웅바이오에페리손정50MG 반제품 (대웅바이오)"/>
    <x v="90"/>
    <x v="11"/>
    <s v="인쇄"/>
    <x v="16"/>
    <n v="1000000"/>
    <n v="12"/>
    <x v="37"/>
    <x v="90"/>
  </r>
  <r>
    <x v="0"/>
    <s v="엑손정 50MG"/>
    <x v="89"/>
    <x v="37"/>
    <s v="대웅바이오에페리손정50MG 반제품 (대웅바이오)"/>
    <x v="91"/>
    <x v="1"/>
    <s v="선별"/>
    <x v="1"/>
    <n v="1000000"/>
    <n v="16"/>
    <x v="37"/>
    <x v="91"/>
  </r>
  <r>
    <x v="0"/>
    <s v="엑손정 50MG"/>
    <x v="88"/>
    <x v="37"/>
    <s v="대웅바이오에페리손정50MG 반제품 (대웅바이오)"/>
    <x v="90"/>
    <x v="1"/>
    <s v="선별"/>
    <x v="1"/>
    <n v="1000000"/>
    <n v="16"/>
    <x v="37"/>
    <x v="90"/>
  </r>
  <r>
    <x v="0"/>
    <s v="엑손정 50MG"/>
    <x v="90"/>
    <x v="38"/>
    <s v="한올에페리손정50MG 반제품 (한올바이오)"/>
    <x v="92"/>
    <x v="8"/>
    <s v="타정"/>
    <x v="19"/>
    <n v="1000000"/>
    <n v="23"/>
    <x v="38"/>
    <x v="92"/>
  </r>
  <r>
    <x v="0"/>
    <s v="엑손정 50MG"/>
    <x v="90"/>
    <x v="38"/>
    <s v="한올에페리손정50MG 반제품 (한올바이오)"/>
    <x v="92"/>
    <x v="12"/>
    <s v="당의"/>
    <x v="20"/>
    <n v="1000000"/>
    <n v="27"/>
    <x v="38"/>
    <x v="92"/>
  </r>
  <r>
    <x v="0"/>
    <s v="엑손정 50MG"/>
    <x v="90"/>
    <x v="38"/>
    <s v="한올에페리손정50MG 반제품 (한올바이오)"/>
    <x v="92"/>
    <x v="11"/>
    <s v="인쇄"/>
    <x v="16"/>
    <n v="1000000"/>
    <n v="12"/>
    <x v="38"/>
    <x v="92"/>
  </r>
  <r>
    <x v="0"/>
    <s v="엑손정 50MG"/>
    <x v="90"/>
    <x v="38"/>
    <s v="한올에페리손정50MG 반제품 (한올바이오)"/>
    <x v="92"/>
    <x v="1"/>
    <s v="선별"/>
    <x v="1"/>
    <n v="1000000"/>
    <n v="16"/>
    <x v="38"/>
    <x v="92"/>
  </r>
  <r>
    <x v="0"/>
    <s v="엑손정 50MG"/>
    <x v="91"/>
    <x v="39"/>
    <s v="엑손정50MG 반제품"/>
    <x v="93"/>
    <x v="12"/>
    <s v="당의"/>
    <x v="20"/>
    <n v="1000000"/>
    <n v="27"/>
    <x v="39"/>
    <x v="93"/>
  </r>
  <r>
    <x v="0"/>
    <s v="엑손정 50MG"/>
    <x v="92"/>
    <x v="39"/>
    <s v="엑손정50MG 반제품"/>
    <x v="94"/>
    <x v="12"/>
    <s v="당의"/>
    <x v="20"/>
    <n v="1000000"/>
    <n v="27"/>
    <x v="39"/>
    <x v="94"/>
  </r>
  <r>
    <x v="0"/>
    <s v="엑손정 50MG"/>
    <x v="93"/>
    <x v="39"/>
    <s v="엑손정50MG 반제품"/>
    <x v="95"/>
    <x v="12"/>
    <s v="당의"/>
    <x v="20"/>
    <n v="1000000"/>
    <n v="27"/>
    <x v="39"/>
    <x v="95"/>
  </r>
  <r>
    <x v="0"/>
    <s v="엑손정 50MG"/>
    <x v="94"/>
    <x v="39"/>
    <s v="엑손정50MG 반제품"/>
    <x v="96"/>
    <x v="12"/>
    <s v="당의"/>
    <x v="20"/>
    <n v="1000000"/>
    <n v="27"/>
    <x v="39"/>
    <x v="96"/>
  </r>
  <r>
    <x v="0"/>
    <s v="엑손정 50MG"/>
    <x v="91"/>
    <x v="39"/>
    <s v="엑손정50MG 반제품"/>
    <x v="93"/>
    <x v="11"/>
    <s v="인쇄"/>
    <x v="16"/>
    <n v="1000000"/>
    <n v="12"/>
    <x v="39"/>
    <x v="93"/>
  </r>
  <r>
    <x v="0"/>
    <s v="엑손정 50MG"/>
    <x v="92"/>
    <x v="39"/>
    <s v="엑손정50MG 반제품"/>
    <x v="94"/>
    <x v="11"/>
    <s v="인쇄"/>
    <x v="16"/>
    <n v="1000000"/>
    <n v="12"/>
    <x v="39"/>
    <x v="94"/>
  </r>
  <r>
    <x v="0"/>
    <s v="엑손정 50MG"/>
    <x v="93"/>
    <x v="39"/>
    <s v="엑손정50MG 반제품"/>
    <x v="95"/>
    <x v="11"/>
    <s v="인쇄"/>
    <x v="16"/>
    <n v="1000000"/>
    <n v="12"/>
    <x v="39"/>
    <x v="95"/>
  </r>
  <r>
    <x v="0"/>
    <s v="엑손정 50MG"/>
    <x v="94"/>
    <x v="39"/>
    <s v="엑손정50MG 반제품"/>
    <x v="96"/>
    <x v="11"/>
    <s v="인쇄"/>
    <x v="16"/>
    <n v="1000000"/>
    <n v="12"/>
    <x v="39"/>
    <x v="96"/>
  </r>
  <r>
    <x v="0"/>
    <s v="엑손정 50MG"/>
    <x v="95"/>
    <x v="39"/>
    <s v="엑손정50MG 반제품"/>
    <x v="97"/>
    <x v="1"/>
    <s v="선별"/>
    <x v="1"/>
    <n v="1000000"/>
    <n v="16"/>
    <x v="39"/>
    <x v="97"/>
  </r>
  <r>
    <x v="0"/>
    <s v="엑손정 50MG"/>
    <x v="91"/>
    <x v="39"/>
    <s v="엑손정50MG 반제품"/>
    <x v="93"/>
    <x v="1"/>
    <s v="선별"/>
    <x v="1"/>
    <n v="1000000"/>
    <n v="16"/>
    <x v="39"/>
    <x v="93"/>
  </r>
  <r>
    <x v="0"/>
    <s v="엑손정 50MG"/>
    <x v="92"/>
    <x v="39"/>
    <s v="엑손정50MG 반제품"/>
    <x v="94"/>
    <x v="1"/>
    <s v="선별"/>
    <x v="1"/>
    <n v="1000000"/>
    <n v="16"/>
    <x v="39"/>
    <x v="94"/>
  </r>
  <r>
    <x v="0"/>
    <s v="엑손정 50MG"/>
    <x v="93"/>
    <x v="39"/>
    <s v="엑손정50MG 반제품"/>
    <x v="95"/>
    <x v="1"/>
    <s v="선별"/>
    <x v="1"/>
    <n v="1000000"/>
    <n v="16"/>
    <x v="39"/>
    <x v="95"/>
  </r>
  <r>
    <x v="0"/>
    <s v="엑손정 50MG"/>
    <x v="94"/>
    <x v="39"/>
    <s v="엑손정50MG 반제품"/>
    <x v="96"/>
    <x v="1"/>
    <s v="선별"/>
    <x v="1"/>
    <n v="1000000"/>
    <n v="16"/>
    <x v="39"/>
    <x v="96"/>
  </r>
  <r>
    <x v="0"/>
    <s v="엑손정 50MG"/>
    <x v="96"/>
    <x v="40"/>
    <s v="뮤프리손정50MG 반제품 (종근당)"/>
    <x v="98"/>
    <x v="12"/>
    <s v="당의"/>
    <x v="20"/>
    <n v="1000000"/>
    <n v="27"/>
    <x v="40"/>
    <x v="98"/>
  </r>
  <r>
    <x v="0"/>
    <s v="엑손정 50MG"/>
    <x v="96"/>
    <x v="40"/>
    <s v="뮤프리손정50MG 반제품 (종근당)"/>
    <x v="98"/>
    <x v="1"/>
    <s v="선별"/>
    <x v="1"/>
    <n v="1000000"/>
    <n v="16"/>
    <x v="40"/>
    <x v="98"/>
  </r>
  <r>
    <x v="0"/>
    <s v="오메프라졸캡슐 20MG"/>
    <x v="97"/>
    <x v="41"/>
    <s v="아주오메프라졸캡슐20MG 반제품"/>
    <x v="99"/>
    <x v="1"/>
    <s v="선별"/>
    <x v="7"/>
    <n v="500000"/>
    <n v="16"/>
    <x v="41"/>
    <x v="99"/>
  </r>
  <r>
    <x v="0"/>
    <s v="오메프라졸캡슐 20MG"/>
    <x v="97"/>
    <x v="41"/>
    <s v="아주오메프라졸캡슐20MG 반제품"/>
    <x v="99"/>
    <x v="1"/>
    <s v="선별"/>
    <x v="7"/>
    <n v="500000"/>
    <n v="16"/>
    <x v="41"/>
    <x v="99"/>
  </r>
  <r>
    <x v="0"/>
    <s v="오메프라졸캡슐 20MG"/>
    <x v="97"/>
    <x v="41"/>
    <s v="아주오메프라졸캡슐20MG 반제품"/>
    <x v="99"/>
    <x v="6"/>
    <s v="질량선별"/>
    <x v="8"/>
    <n v="500000"/>
    <n v="18"/>
    <x v="41"/>
    <x v="99"/>
  </r>
  <r>
    <x v="0"/>
    <s v="오메프라졸캡슐 20MG"/>
    <x v="97"/>
    <x v="41"/>
    <s v="아주오메프라졸캡슐20MG 반제품"/>
    <x v="99"/>
    <x v="6"/>
    <s v="질량선별"/>
    <x v="8"/>
    <n v="500000"/>
    <n v="18"/>
    <x v="41"/>
    <x v="99"/>
  </r>
  <r>
    <x v="0"/>
    <s v="오미탄정 25MG"/>
    <x v="43"/>
    <x v="42"/>
    <s v="비디텍정25MG 반제품 (영일제약)"/>
    <x v="100"/>
    <x v="1"/>
    <s v="선별"/>
    <x v="7"/>
    <n v="600000"/>
    <n v="15"/>
    <x v="42"/>
    <x v="100"/>
  </r>
  <r>
    <x v="0"/>
    <s v="오미탄정 25MG"/>
    <x v="98"/>
    <x v="42"/>
    <s v="비디텍정25MG 반제품 (영일제약)"/>
    <x v="101"/>
    <x v="1"/>
    <s v="선별"/>
    <x v="7"/>
    <n v="600000"/>
    <n v="15"/>
    <x v="42"/>
    <x v="101"/>
  </r>
  <r>
    <x v="0"/>
    <s v="오미탄정 25MG"/>
    <x v="99"/>
    <x v="42"/>
    <s v="비디텍정25MG 반제품 (영일제약)"/>
    <x v="102"/>
    <x v="1"/>
    <s v="선별"/>
    <x v="7"/>
    <n v="600000"/>
    <n v="15"/>
    <x v="42"/>
    <x v="102"/>
  </r>
  <r>
    <x v="0"/>
    <s v="오미탄정 25MG"/>
    <x v="100"/>
    <x v="43"/>
    <s v="오미탄정25MG 반제품"/>
    <x v="103"/>
    <x v="8"/>
    <s v="타정"/>
    <x v="19"/>
    <n v="600000"/>
    <n v="20"/>
    <x v="43"/>
    <x v="103"/>
  </r>
  <r>
    <x v="0"/>
    <s v="오미탄정 25MG"/>
    <x v="101"/>
    <x v="43"/>
    <s v="오미탄정25MG 반제품"/>
    <x v="104"/>
    <x v="8"/>
    <s v="타정"/>
    <x v="19"/>
    <n v="600000"/>
    <n v="20"/>
    <x v="43"/>
    <x v="104"/>
  </r>
  <r>
    <x v="0"/>
    <s v="오미탄정 25MG"/>
    <x v="100"/>
    <x v="43"/>
    <s v="오미탄정25MG 반제품"/>
    <x v="103"/>
    <x v="1"/>
    <s v="선별"/>
    <x v="7"/>
    <n v="600000"/>
    <n v="15"/>
    <x v="43"/>
    <x v="103"/>
  </r>
  <r>
    <x v="0"/>
    <s v="오미탄정 25MG"/>
    <x v="101"/>
    <x v="43"/>
    <s v="오미탄정25MG 반제품"/>
    <x v="104"/>
    <x v="1"/>
    <s v="선별"/>
    <x v="7"/>
    <n v="600000"/>
    <n v="15"/>
    <x v="43"/>
    <x v="104"/>
  </r>
  <r>
    <x v="0"/>
    <s v="유로박솜캡슐 60MG"/>
    <x v="102"/>
    <x v="44"/>
    <s v="유로박솜캡슐60MG 반제품"/>
    <x v="105"/>
    <x v="7"/>
    <s v="캡슐충전"/>
    <x v="9"/>
    <n v="1600000"/>
    <n v="42"/>
    <x v="44"/>
    <x v="105"/>
  </r>
  <r>
    <x v="0"/>
    <s v="유로박솜캡슐 60MG"/>
    <x v="103"/>
    <x v="44"/>
    <s v="유로박솜캡슐60MG 반제품"/>
    <x v="106"/>
    <x v="7"/>
    <s v="캡슐충전"/>
    <x v="9"/>
    <n v="1600000"/>
    <n v="42"/>
    <x v="44"/>
    <x v="106"/>
  </r>
  <r>
    <x v="0"/>
    <s v="유로박솜캡슐 60MG"/>
    <x v="104"/>
    <x v="44"/>
    <s v="유로박솜캡슐60MG 반제품"/>
    <x v="107"/>
    <x v="7"/>
    <s v="캡슐충전"/>
    <x v="9"/>
    <n v="1600000"/>
    <n v="42"/>
    <x v="44"/>
    <x v="107"/>
  </r>
  <r>
    <x v="0"/>
    <s v="유로박솜캡슐 60MG"/>
    <x v="102"/>
    <x v="44"/>
    <s v="유로박솜캡슐60MG 반제품"/>
    <x v="105"/>
    <x v="1"/>
    <s v="선별"/>
    <x v="7"/>
    <n v="1600000"/>
    <n v="35"/>
    <x v="44"/>
    <x v="105"/>
  </r>
  <r>
    <x v="0"/>
    <s v="유로박솜캡슐 60MG"/>
    <x v="103"/>
    <x v="44"/>
    <s v="유로박솜캡슐60MG 반제품"/>
    <x v="106"/>
    <x v="1"/>
    <s v="선별"/>
    <x v="7"/>
    <n v="1600000"/>
    <n v="35"/>
    <x v="44"/>
    <x v="106"/>
  </r>
  <r>
    <x v="0"/>
    <s v="유로박솜캡슐 60MG"/>
    <x v="104"/>
    <x v="44"/>
    <s v="유로박솜캡슐60MG 반제품"/>
    <x v="107"/>
    <x v="1"/>
    <s v="선별"/>
    <x v="7"/>
    <n v="1600000"/>
    <n v="35"/>
    <x v="44"/>
    <x v="107"/>
  </r>
  <r>
    <x v="0"/>
    <s v="유로박솜캡슐 60MG"/>
    <x v="105"/>
    <x v="44"/>
    <s v="유로박솜캡슐60MG 반제품"/>
    <x v="108"/>
    <x v="6"/>
    <s v="질량선별"/>
    <x v="8"/>
    <n v="1600000"/>
    <n v="31"/>
    <x v="44"/>
    <x v="108"/>
  </r>
  <r>
    <x v="0"/>
    <s v="유로박솜캡슐 60MG"/>
    <x v="106"/>
    <x v="44"/>
    <s v="유로박솜캡슐60MG 반제품"/>
    <x v="109"/>
    <x v="6"/>
    <s v="질량선별"/>
    <x v="8"/>
    <n v="1600000"/>
    <n v="31"/>
    <x v="44"/>
    <x v="109"/>
  </r>
  <r>
    <x v="0"/>
    <s v="유로박솜캡슐 60MG"/>
    <x v="102"/>
    <x v="44"/>
    <s v="유로박솜캡슐60MG 반제품"/>
    <x v="105"/>
    <x v="6"/>
    <s v="질량선별"/>
    <x v="8"/>
    <n v="1600000"/>
    <n v="31"/>
    <x v="44"/>
    <x v="105"/>
  </r>
  <r>
    <x v="0"/>
    <s v="유로박솜캡슐 60MG"/>
    <x v="103"/>
    <x v="44"/>
    <s v="유로박솜캡슐60MG 반제품"/>
    <x v="106"/>
    <x v="6"/>
    <s v="질량선별"/>
    <x v="8"/>
    <n v="1600000"/>
    <n v="31"/>
    <x v="44"/>
    <x v="106"/>
  </r>
  <r>
    <x v="0"/>
    <s v="유로박솜캡슐 60MG"/>
    <x v="104"/>
    <x v="44"/>
    <s v="유로박솜캡슐60MG 반제품"/>
    <x v="107"/>
    <x v="6"/>
    <s v="질량선별"/>
    <x v="8"/>
    <n v="1600000"/>
    <n v="31"/>
    <x v="44"/>
    <x v="107"/>
  </r>
  <r>
    <x v="0"/>
    <s v="정장생캡슐 250MG"/>
    <x v="107"/>
    <x v="45"/>
    <s v="정장생캡슐250MG 반제품"/>
    <x v="110"/>
    <x v="1"/>
    <s v="선별"/>
    <x v="1"/>
    <n v="1000000"/>
    <n v="27"/>
    <x v="45"/>
    <x v="110"/>
  </r>
  <r>
    <x v="0"/>
    <s v="정장생캡슐 250MG"/>
    <x v="108"/>
    <x v="45"/>
    <s v="정장생캡슐250MG 반제품"/>
    <x v="111"/>
    <x v="1"/>
    <s v="선별"/>
    <x v="1"/>
    <n v="1000000"/>
    <n v="27"/>
    <x v="45"/>
    <x v="111"/>
  </r>
  <r>
    <x v="0"/>
    <s v="정장생캡슐 250MG"/>
    <x v="109"/>
    <x v="45"/>
    <s v="정장생캡슐250MG 반제품"/>
    <x v="112"/>
    <x v="1"/>
    <s v="선별"/>
    <x v="1"/>
    <n v="1000000"/>
    <n v="27"/>
    <x v="45"/>
    <x v="112"/>
  </r>
  <r>
    <x v="0"/>
    <s v="정장생캡슐 250MG"/>
    <x v="107"/>
    <x v="45"/>
    <s v="정장생캡슐250MG 반제품"/>
    <x v="110"/>
    <x v="6"/>
    <s v="질량선별"/>
    <x v="8"/>
    <n v="1000000"/>
    <n v="52"/>
    <x v="45"/>
    <x v="110"/>
  </r>
  <r>
    <x v="0"/>
    <s v="정장생캡슐 250MG"/>
    <x v="108"/>
    <x v="45"/>
    <s v="정장생캡슐250MG 반제품"/>
    <x v="111"/>
    <x v="6"/>
    <s v="질량선별"/>
    <x v="8"/>
    <n v="1000000"/>
    <n v="52"/>
    <x v="45"/>
    <x v="111"/>
  </r>
  <r>
    <x v="0"/>
    <s v="정장생캡슐 250MG"/>
    <x v="109"/>
    <x v="45"/>
    <s v="정장생캡슐250MG 반제품"/>
    <x v="112"/>
    <x v="6"/>
    <s v="질량선별"/>
    <x v="8"/>
    <n v="1000000"/>
    <n v="52"/>
    <x v="45"/>
    <x v="112"/>
  </r>
  <r>
    <x v="0"/>
    <s v="제로시드 20/1100"/>
    <x v="110"/>
    <x v="46"/>
    <s v="제로시드정20/1100 반제품"/>
    <x v="113"/>
    <x v="8"/>
    <s v="타정"/>
    <x v="21"/>
    <n v="200000"/>
    <n v="24"/>
    <x v="46"/>
    <x v="113"/>
  </r>
  <r>
    <x v="0"/>
    <s v="제로시드 20/1100"/>
    <x v="111"/>
    <x v="46"/>
    <s v="제로시드정20/1100 반제품"/>
    <x v="114"/>
    <x v="1"/>
    <s v="선별"/>
    <x v="7"/>
    <n v="200000"/>
    <n v="14"/>
    <x v="46"/>
    <x v="114"/>
  </r>
  <r>
    <x v="0"/>
    <s v="제로시드 20/1100"/>
    <x v="110"/>
    <x v="46"/>
    <s v="제로시드정20/1100 반제품"/>
    <x v="113"/>
    <x v="1"/>
    <s v="선별"/>
    <x v="7"/>
    <n v="200000"/>
    <n v="14"/>
    <x v="46"/>
    <x v="113"/>
  </r>
  <r>
    <x v="0"/>
    <s v="크레트롤정 10/10MG"/>
    <x v="112"/>
    <x v="47"/>
    <s v="크레트롤정10/10MG 반제품 (수출)"/>
    <x v="115"/>
    <x v="0"/>
    <s v="코팅"/>
    <x v="0"/>
    <n v="600000"/>
    <n v="10"/>
    <x v="47"/>
    <x v="115"/>
  </r>
  <r>
    <x v="0"/>
    <s v="크레트롤정 10/10MG"/>
    <x v="113"/>
    <x v="47"/>
    <s v="크레트롤정10/10MG 반제품 (수출)"/>
    <x v="116"/>
    <x v="0"/>
    <s v="코팅"/>
    <x v="0"/>
    <n v="600000"/>
    <n v="10"/>
    <x v="47"/>
    <x v="116"/>
  </r>
  <r>
    <x v="0"/>
    <s v="크레트롤정 10/10MG"/>
    <x v="114"/>
    <x v="47"/>
    <s v="크레트롤정10/10MG 반제품 (수출)"/>
    <x v="117"/>
    <x v="0"/>
    <s v="코팅"/>
    <x v="0"/>
    <n v="600000"/>
    <n v="10"/>
    <x v="47"/>
    <x v="117"/>
  </r>
  <r>
    <x v="0"/>
    <s v="크레트롤정 10/10MG"/>
    <x v="115"/>
    <x v="47"/>
    <s v="크레트롤정10/10MG 반제품 (수출)"/>
    <x v="118"/>
    <x v="0"/>
    <s v="코팅"/>
    <x v="0"/>
    <n v="600000"/>
    <n v="10"/>
    <x v="47"/>
    <x v="118"/>
  </r>
  <r>
    <x v="0"/>
    <s v="크레트롤정 10/10MG"/>
    <x v="116"/>
    <x v="47"/>
    <s v="크레트롤정10/10MG 반제품 (수출)"/>
    <x v="119"/>
    <x v="0"/>
    <s v="코팅"/>
    <x v="0"/>
    <n v="600000"/>
    <n v="10"/>
    <x v="47"/>
    <x v="119"/>
  </r>
  <r>
    <x v="0"/>
    <s v="크레트롤정 10/10MG"/>
    <x v="112"/>
    <x v="47"/>
    <s v="크레트롤정10/10MG 반제품 (수출)"/>
    <x v="115"/>
    <x v="1"/>
    <s v="선별"/>
    <x v="1"/>
    <n v="600000"/>
    <n v="4"/>
    <x v="47"/>
    <x v="115"/>
  </r>
  <r>
    <x v="0"/>
    <s v="크레트롤정 10/10MG"/>
    <x v="113"/>
    <x v="47"/>
    <s v="크레트롤정10/10MG 반제품 (수출)"/>
    <x v="116"/>
    <x v="1"/>
    <s v="선별"/>
    <x v="1"/>
    <n v="600000"/>
    <n v="4"/>
    <x v="47"/>
    <x v="116"/>
  </r>
  <r>
    <x v="0"/>
    <s v="크레트롤정 10/10MG"/>
    <x v="114"/>
    <x v="47"/>
    <s v="크레트롤정10/10MG 반제품 (수출)"/>
    <x v="117"/>
    <x v="1"/>
    <s v="선별"/>
    <x v="1"/>
    <n v="600000"/>
    <n v="4"/>
    <x v="47"/>
    <x v="117"/>
  </r>
  <r>
    <x v="0"/>
    <s v="크레트롤정 10/10MG"/>
    <x v="115"/>
    <x v="47"/>
    <s v="크레트롤정10/10MG 반제품 (수출)"/>
    <x v="118"/>
    <x v="1"/>
    <s v="선별"/>
    <x v="1"/>
    <n v="600000"/>
    <n v="4"/>
    <x v="47"/>
    <x v="118"/>
  </r>
  <r>
    <x v="0"/>
    <s v="크레트롤정 10/10MG"/>
    <x v="116"/>
    <x v="47"/>
    <s v="크레트롤정10/10MG 반제품 (수출)"/>
    <x v="119"/>
    <x v="1"/>
    <s v="선별"/>
    <x v="1"/>
    <n v="600000"/>
    <n v="4"/>
    <x v="47"/>
    <x v="119"/>
  </r>
  <r>
    <x v="0"/>
    <s v="크레트롤정 10/10MG"/>
    <x v="117"/>
    <x v="48"/>
    <s v="크레트롤정10/10MG 반제품"/>
    <x v="120"/>
    <x v="2"/>
    <s v="과립"/>
    <x v="2"/>
    <n v="600000"/>
    <n v="12"/>
    <x v="48"/>
    <x v="120"/>
  </r>
  <r>
    <x v="0"/>
    <s v="크레트롤정 10/10MG"/>
    <x v="117"/>
    <x v="48"/>
    <s v="크레트롤정10/10MG 반제품"/>
    <x v="120"/>
    <x v="2"/>
    <s v="과립"/>
    <x v="2"/>
    <n v="600000"/>
    <n v="12"/>
    <x v="48"/>
    <x v="120"/>
  </r>
  <r>
    <x v="0"/>
    <s v="크레트롤정 10/10MG"/>
    <x v="118"/>
    <x v="48"/>
    <s v="크레트롤정10/10MG 반제품"/>
    <x v="121"/>
    <x v="2"/>
    <s v="과립"/>
    <x v="2"/>
    <n v="600000"/>
    <n v="12"/>
    <x v="48"/>
    <x v="121"/>
  </r>
  <r>
    <x v="0"/>
    <s v="크레트롤정 10/10MG"/>
    <x v="118"/>
    <x v="48"/>
    <s v="크레트롤정10/10MG 반제품"/>
    <x v="121"/>
    <x v="2"/>
    <s v="과립"/>
    <x v="2"/>
    <n v="600000"/>
    <n v="12"/>
    <x v="48"/>
    <x v="121"/>
  </r>
  <r>
    <x v="0"/>
    <s v="크레트롤정 10/10MG"/>
    <x v="119"/>
    <x v="48"/>
    <s v="크레트롤정10/10MG 반제품"/>
    <x v="122"/>
    <x v="2"/>
    <s v="과립"/>
    <x v="2"/>
    <n v="600000"/>
    <n v="12"/>
    <x v="48"/>
    <x v="122"/>
  </r>
  <r>
    <x v="0"/>
    <s v="크레트롤정 10/10MG"/>
    <x v="119"/>
    <x v="48"/>
    <s v="크레트롤정10/10MG 반제품"/>
    <x v="122"/>
    <x v="2"/>
    <s v="과립"/>
    <x v="2"/>
    <n v="600000"/>
    <n v="12"/>
    <x v="48"/>
    <x v="122"/>
  </r>
  <r>
    <x v="0"/>
    <s v="크레트롤정 10/10MG"/>
    <x v="120"/>
    <x v="48"/>
    <s v="크레트롤정10/10MG 반제품"/>
    <x v="123"/>
    <x v="2"/>
    <s v="과립"/>
    <x v="2"/>
    <n v="600000"/>
    <n v="12"/>
    <x v="48"/>
    <x v="123"/>
  </r>
  <r>
    <x v="0"/>
    <s v="크레트롤정 10/10MG"/>
    <x v="120"/>
    <x v="48"/>
    <s v="크레트롤정10/10MG 반제품"/>
    <x v="123"/>
    <x v="2"/>
    <s v="과립"/>
    <x v="2"/>
    <n v="600000"/>
    <n v="12"/>
    <x v="48"/>
    <x v="123"/>
  </r>
  <r>
    <x v="0"/>
    <s v="크레트롤정 10/10MG"/>
    <x v="121"/>
    <x v="48"/>
    <s v="크레트롤정10/10MG 반제품"/>
    <x v="124"/>
    <x v="2"/>
    <s v="과립"/>
    <x v="2"/>
    <n v="600000"/>
    <n v="12"/>
    <x v="48"/>
    <x v="124"/>
  </r>
  <r>
    <x v="0"/>
    <s v="크레트롤정 10/10MG"/>
    <x v="121"/>
    <x v="48"/>
    <s v="크레트롤정10/10MG 반제품"/>
    <x v="124"/>
    <x v="2"/>
    <s v="과립"/>
    <x v="2"/>
    <n v="600000"/>
    <n v="12"/>
    <x v="48"/>
    <x v="124"/>
  </r>
  <r>
    <x v="0"/>
    <s v="크레트롤정 10/10MG"/>
    <x v="122"/>
    <x v="48"/>
    <s v="크레트롤정10/10MG 반제품"/>
    <x v="125"/>
    <x v="2"/>
    <s v="과립"/>
    <x v="2"/>
    <n v="600000"/>
    <n v="12"/>
    <x v="48"/>
    <x v="125"/>
  </r>
  <r>
    <x v="0"/>
    <s v="크레트롤정 10/10MG"/>
    <x v="122"/>
    <x v="48"/>
    <s v="크레트롤정10/10MG 반제품"/>
    <x v="125"/>
    <x v="2"/>
    <s v="과립"/>
    <x v="2"/>
    <n v="600000"/>
    <n v="12"/>
    <x v="48"/>
    <x v="125"/>
  </r>
  <r>
    <x v="0"/>
    <s v="크레트롤정 10/10MG"/>
    <x v="117"/>
    <x v="48"/>
    <s v="크레트롤정10/10MG 반제품"/>
    <x v="120"/>
    <x v="3"/>
    <s v="혼합"/>
    <x v="5"/>
    <n v="600000"/>
    <n v="3"/>
    <x v="48"/>
    <x v="120"/>
  </r>
  <r>
    <x v="0"/>
    <s v="크레트롤정 10/10MG"/>
    <x v="117"/>
    <x v="48"/>
    <s v="크레트롤정10/10MG 반제품"/>
    <x v="120"/>
    <x v="3"/>
    <s v="혼합"/>
    <x v="5"/>
    <n v="600000"/>
    <n v="3"/>
    <x v="48"/>
    <x v="120"/>
  </r>
  <r>
    <x v="0"/>
    <s v="크레트롤정 10/10MG"/>
    <x v="118"/>
    <x v="48"/>
    <s v="크레트롤정10/10MG 반제품"/>
    <x v="121"/>
    <x v="3"/>
    <s v="혼합"/>
    <x v="5"/>
    <n v="600000"/>
    <n v="3"/>
    <x v="48"/>
    <x v="121"/>
  </r>
  <r>
    <x v="0"/>
    <s v="크레트롤정 10/10MG"/>
    <x v="118"/>
    <x v="48"/>
    <s v="크레트롤정10/10MG 반제품"/>
    <x v="121"/>
    <x v="3"/>
    <s v="혼합"/>
    <x v="5"/>
    <n v="600000"/>
    <n v="3"/>
    <x v="48"/>
    <x v="121"/>
  </r>
  <r>
    <x v="0"/>
    <s v="크레트롤정 10/10MG"/>
    <x v="119"/>
    <x v="48"/>
    <s v="크레트롤정10/10MG 반제품"/>
    <x v="122"/>
    <x v="3"/>
    <s v="혼합"/>
    <x v="5"/>
    <n v="600000"/>
    <n v="3"/>
    <x v="48"/>
    <x v="122"/>
  </r>
  <r>
    <x v="0"/>
    <s v="크레트롤정 10/10MG"/>
    <x v="119"/>
    <x v="48"/>
    <s v="크레트롤정10/10MG 반제품"/>
    <x v="122"/>
    <x v="3"/>
    <s v="혼합"/>
    <x v="5"/>
    <n v="600000"/>
    <n v="3"/>
    <x v="48"/>
    <x v="122"/>
  </r>
  <r>
    <x v="0"/>
    <s v="크레트롤정 10/10MG"/>
    <x v="120"/>
    <x v="48"/>
    <s v="크레트롤정10/10MG 반제품"/>
    <x v="123"/>
    <x v="3"/>
    <s v="혼합"/>
    <x v="5"/>
    <n v="600000"/>
    <n v="3"/>
    <x v="48"/>
    <x v="123"/>
  </r>
  <r>
    <x v="0"/>
    <s v="크레트롤정 10/10MG"/>
    <x v="120"/>
    <x v="48"/>
    <s v="크레트롤정10/10MG 반제품"/>
    <x v="123"/>
    <x v="3"/>
    <s v="혼합"/>
    <x v="5"/>
    <n v="600000"/>
    <n v="3"/>
    <x v="48"/>
    <x v="123"/>
  </r>
  <r>
    <x v="0"/>
    <s v="크레트롤정 10/10MG"/>
    <x v="121"/>
    <x v="48"/>
    <s v="크레트롤정10/10MG 반제품"/>
    <x v="124"/>
    <x v="3"/>
    <s v="혼합"/>
    <x v="5"/>
    <n v="600000"/>
    <n v="3"/>
    <x v="48"/>
    <x v="124"/>
  </r>
  <r>
    <x v="0"/>
    <s v="크레트롤정 10/10MG"/>
    <x v="121"/>
    <x v="48"/>
    <s v="크레트롤정10/10MG 반제품"/>
    <x v="124"/>
    <x v="3"/>
    <s v="혼합"/>
    <x v="5"/>
    <n v="600000"/>
    <n v="3"/>
    <x v="48"/>
    <x v="124"/>
  </r>
  <r>
    <x v="0"/>
    <s v="크레트롤정 10/10MG"/>
    <x v="122"/>
    <x v="48"/>
    <s v="크레트롤정10/10MG 반제품"/>
    <x v="125"/>
    <x v="3"/>
    <s v="혼합"/>
    <x v="5"/>
    <n v="600000"/>
    <n v="3"/>
    <x v="48"/>
    <x v="125"/>
  </r>
  <r>
    <x v="0"/>
    <s v="크레트롤정 10/10MG"/>
    <x v="122"/>
    <x v="48"/>
    <s v="크레트롤정10/10MG 반제품"/>
    <x v="125"/>
    <x v="3"/>
    <s v="혼합"/>
    <x v="5"/>
    <n v="600000"/>
    <n v="3"/>
    <x v="48"/>
    <x v="125"/>
  </r>
  <r>
    <x v="0"/>
    <s v="크레트롤정 10/10MG"/>
    <x v="117"/>
    <x v="48"/>
    <s v="크레트롤정10/10MG 반제품"/>
    <x v="120"/>
    <x v="8"/>
    <s v="타정"/>
    <x v="11"/>
    <n v="600000"/>
    <n v="21"/>
    <x v="48"/>
    <x v="120"/>
  </r>
  <r>
    <x v="0"/>
    <s v="크레트롤정 10/10MG"/>
    <x v="117"/>
    <x v="48"/>
    <s v="크레트롤정10/10MG 반제품"/>
    <x v="120"/>
    <x v="8"/>
    <s v="타정"/>
    <x v="11"/>
    <n v="600000"/>
    <n v="13"/>
    <x v="48"/>
    <x v="120"/>
  </r>
  <r>
    <x v="0"/>
    <s v="크레트롤정 10/10MG"/>
    <x v="118"/>
    <x v="48"/>
    <s v="크레트롤정10/10MG 반제품"/>
    <x v="121"/>
    <x v="8"/>
    <s v="타정"/>
    <x v="11"/>
    <n v="600000"/>
    <n v="21"/>
    <x v="48"/>
    <x v="121"/>
  </r>
  <r>
    <x v="0"/>
    <s v="크레트롤정 10/10MG"/>
    <x v="118"/>
    <x v="48"/>
    <s v="크레트롤정10/10MG 반제품"/>
    <x v="121"/>
    <x v="8"/>
    <s v="타정"/>
    <x v="11"/>
    <n v="600000"/>
    <n v="13"/>
    <x v="48"/>
    <x v="121"/>
  </r>
  <r>
    <x v="0"/>
    <s v="크레트롤정 10/10MG"/>
    <x v="119"/>
    <x v="48"/>
    <s v="크레트롤정10/10MG 반제품"/>
    <x v="122"/>
    <x v="8"/>
    <s v="타정"/>
    <x v="11"/>
    <n v="600000"/>
    <n v="21"/>
    <x v="48"/>
    <x v="122"/>
  </r>
  <r>
    <x v="0"/>
    <s v="크레트롤정 10/10MG"/>
    <x v="119"/>
    <x v="48"/>
    <s v="크레트롤정10/10MG 반제품"/>
    <x v="122"/>
    <x v="8"/>
    <s v="타정"/>
    <x v="11"/>
    <n v="600000"/>
    <n v="13"/>
    <x v="48"/>
    <x v="122"/>
  </r>
  <r>
    <x v="0"/>
    <s v="크레트롤정 10/10MG"/>
    <x v="120"/>
    <x v="48"/>
    <s v="크레트롤정10/10MG 반제품"/>
    <x v="123"/>
    <x v="8"/>
    <s v="타정"/>
    <x v="11"/>
    <n v="600000"/>
    <n v="21"/>
    <x v="48"/>
    <x v="123"/>
  </r>
  <r>
    <x v="0"/>
    <s v="크레트롤정 10/10MG"/>
    <x v="120"/>
    <x v="48"/>
    <s v="크레트롤정10/10MG 반제품"/>
    <x v="123"/>
    <x v="8"/>
    <s v="타정"/>
    <x v="11"/>
    <n v="600000"/>
    <n v="13"/>
    <x v="48"/>
    <x v="123"/>
  </r>
  <r>
    <x v="0"/>
    <s v="크레트롤정 10/10MG"/>
    <x v="121"/>
    <x v="48"/>
    <s v="크레트롤정10/10MG 반제품"/>
    <x v="124"/>
    <x v="8"/>
    <s v="타정"/>
    <x v="11"/>
    <n v="600000"/>
    <n v="21"/>
    <x v="48"/>
    <x v="124"/>
  </r>
  <r>
    <x v="0"/>
    <s v="크레트롤정 10/10MG"/>
    <x v="121"/>
    <x v="48"/>
    <s v="크레트롤정10/10MG 반제품"/>
    <x v="124"/>
    <x v="8"/>
    <s v="타정"/>
    <x v="11"/>
    <n v="600000"/>
    <n v="13"/>
    <x v="48"/>
    <x v="124"/>
  </r>
  <r>
    <x v="0"/>
    <s v="크레트롤정 10/10MG"/>
    <x v="122"/>
    <x v="48"/>
    <s v="크레트롤정10/10MG 반제품"/>
    <x v="125"/>
    <x v="8"/>
    <s v="타정"/>
    <x v="11"/>
    <n v="600000"/>
    <n v="21"/>
    <x v="48"/>
    <x v="125"/>
  </r>
  <r>
    <x v="0"/>
    <s v="크레트롤정 10/10MG"/>
    <x v="122"/>
    <x v="48"/>
    <s v="크레트롤정10/10MG 반제품"/>
    <x v="125"/>
    <x v="8"/>
    <s v="타정"/>
    <x v="11"/>
    <n v="600000"/>
    <n v="13"/>
    <x v="48"/>
    <x v="125"/>
  </r>
  <r>
    <x v="0"/>
    <s v="크레트롤정 10/10MG"/>
    <x v="123"/>
    <x v="48"/>
    <s v="크레트롤정10/10MG 반제품"/>
    <x v="126"/>
    <x v="0"/>
    <s v="코팅"/>
    <x v="6"/>
    <n v="600000"/>
    <n v="11"/>
    <x v="48"/>
    <x v="126"/>
  </r>
  <r>
    <x v="0"/>
    <s v="크레트롤정 10/10MG"/>
    <x v="123"/>
    <x v="48"/>
    <s v="크레트롤정10/10MG 반제품"/>
    <x v="126"/>
    <x v="0"/>
    <s v="코팅"/>
    <x v="6"/>
    <n v="600000"/>
    <n v="11"/>
    <x v="48"/>
    <x v="126"/>
  </r>
  <r>
    <x v="0"/>
    <s v="크레트롤정 10/10MG"/>
    <x v="124"/>
    <x v="48"/>
    <s v="크레트롤정10/10MG 반제품"/>
    <x v="127"/>
    <x v="0"/>
    <s v="코팅"/>
    <x v="6"/>
    <n v="600000"/>
    <n v="11"/>
    <x v="48"/>
    <x v="127"/>
  </r>
  <r>
    <x v="0"/>
    <s v="크레트롤정 10/10MG"/>
    <x v="124"/>
    <x v="48"/>
    <s v="크레트롤정10/10MG 반제품"/>
    <x v="127"/>
    <x v="0"/>
    <s v="코팅"/>
    <x v="6"/>
    <n v="600000"/>
    <n v="11"/>
    <x v="48"/>
    <x v="127"/>
  </r>
  <r>
    <x v="0"/>
    <s v="크레트롤정 10/10MG"/>
    <x v="117"/>
    <x v="48"/>
    <s v="크레트롤정10/10MG 반제품"/>
    <x v="120"/>
    <x v="0"/>
    <s v="코팅"/>
    <x v="6"/>
    <n v="600000"/>
    <n v="11"/>
    <x v="48"/>
    <x v="120"/>
  </r>
  <r>
    <x v="0"/>
    <s v="크레트롤정 10/10MG"/>
    <x v="117"/>
    <x v="48"/>
    <s v="크레트롤정10/10MG 반제품"/>
    <x v="120"/>
    <x v="0"/>
    <s v="코팅"/>
    <x v="6"/>
    <n v="600000"/>
    <n v="11"/>
    <x v="48"/>
    <x v="120"/>
  </r>
  <r>
    <x v="0"/>
    <s v="크레트롤정 10/10MG"/>
    <x v="118"/>
    <x v="48"/>
    <s v="크레트롤정10/10MG 반제품"/>
    <x v="121"/>
    <x v="0"/>
    <s v="코팅"/>
    <x v="6"/>
    <n v="600000"/>
    <n v="11"/>
    <x v="48"/>
    <x v="121"/>
  </r>
  <r>
    <x v="0"/>
    <s v="크레트롤정 10/10MG"/>
    <x v="118"/>
    <x v="48"/>
    <s v="크레트롤정10/10MG 반제품"/>
    <x v="121"/>
    <x v="0"/>
    <s v="코팅"/>
    <x v="6"/>
    <n v="600000"/>
    <n v="11"/>
    <x v="48"/>
    <x v="121"/>
  </r>
  <r>
    <x v="0"/>
    <s v="크레트롤정 10/10MG"/>
    <x v="119"/>
    <x v="48"/>
    <s v="크레트롤정10/10MG 반제품"/>
    <x v="122"/>
    <x v="0"/>
    <s v="코팅"/>
    <x v="6"/>
    <n v="600000"/>
    <n v="11"/>
    <x v="48"/>
    <x v="122"/>
  </r>
  <r>
    <x v="0"/>
    <s v="크레트롤정 10/10MG"/>
    <x v="119"/>
    <x v="48"/>
    <s v="크레트롤정10/10MG 반제품"/>
    <x v="122"/>
    <x v="0"/>
    <s v="코팅"/>
    <x v="6"/>
    <n v="600000"/>
    <n v="11"/>
    <x v="48"/>
    <x v="122"/>
  </r>
  <r>
    <x v="0"/>
    <s v="크레트롤정 10/10MG"/>
    <x v="120"/>
    <x v="48"/>
    <s v="크레트롤정10/10MG 반제품"/>
    <x v="123"/>
    <x v="0"/>
    <s v="코팅"/>
    <x v="6"/>
    <n v="600000"/>
    <n v="11"/>
    <x v="48"/>
    <x v="123"/>
  </r>
  <r>
    <x v="0"/>
    <s v="크레트롤정 10/10MG"/>
    <x v="120"/>
    <x v="48"/>
    <s v="크레트롤정10/10MG 반제품"/>
    <x v="123"/>
    <x v="0"/>
    <s v="코팅"/>
    <x v="6"/>
    <n v="600000"/>
    <n v="11"/>
    <x v="48"/>
    <x v="123"/>
  </r>
  <r>
    <x v="0"/>
    <s v="크레트롤정 10/10MG"/>
    <x v="121"/>
    <x v="48"/>
    <s v="크레트롤정10/10MG 반제품"/>
    <x v="124"/>
    <x v="0"/>
    <s v="코팅"/>
    <x v="6"/>
    <n v="600000"/>
    <n v="11"/>
    <x v="48"/>
    <x v="124"/>
  </r>
  <r>
    <x v="0"/>
    <s v="크레트롤정 10/10MG"/>
    <x v="121"/>
    <x v="48"/>
    <s v="크레트롤정10/10MG 반제품"/>
    <x v="124"/>
    <x v="0"/>
    <s v="코팅"/>
    <x v="6"/>
    <n v="600000"/>
    <n v="11"/>
    <x v="48"/>
    <x v="124"/>
  </r>
  <r>
    <x v="0"/>
    <s v="크레트롤정 10/10MG"/>
    <x v="122"/>
    <x v="48"/>
    <s v="크레트롤정10/10MG 반제품"/>
    <x v="125"/>
    <x v="0"/>
    <s v="코팅"/>
    <x v="6"/>
    <n v="600000"/>
    <n v="11"/>
    <x v="48"/>
    <x v="125"/>
  </r>
  <r>
    <x v="0"/>
    <s v="크레트롤정 10/10MG"/>
    <x v="122"/>
    <x v="48"/>
    <s v="크레트롤정10/10MG 반제품"/>
    <x v="125"/>
    <x v="0"/>
    <s v="코팅"/>
    <x v="6"/>
    <n v="600000"/>
    <n v="11"/>
    <x v="48"/>
    <x v="125"/>
  </r>
  <r>
    <x v="0"/>
    <s v="크레트롤정 10/10MG"/>
    <x v="123"/>
    <x v="48"/>
    <s v="크레트롤정10/10MG 반제품"/>
    <x v="126"/>
    <x v="1"/>
    <s v="선별"/>
    <x v="1"/>
    <n v="600000"/>
    <n v="11"/>
    <x v="48"/>
    <x v="126"/>
  </r>
  <r>
    <x v="0"/>
    <s v="크레트롤정 10/10MG"/>
    <x v="123"/>
    <x v="48"/>
    <s v="크레트롤정10/10MG 반제품"/>
    <x v="126"/>
    <x v="1"/>
    <s v="선별"/>
    <x v="1"/>
    <n v="600000"/>
    <n v="7"/>
    <x v="48"/>
    <x v="126"/>
  </r>
  <r>
    <x v="0"/>
    <s v="크레트롤정 10/10MG"/>
    <x v="124"/>
    <x v="48"/>
    <s v="크레트롤정10/10MG 반제품"/>
    <x v="127"/>
    <x v="1"/>
    <s v="선별"/>
    <x v="1"/>
    <n v="600000"/>
    <n v="11"/>
    <x v="48"/>
    <x v="127"/>
  </r>
  <r>
    <x v="0"/>
    <s v="크레트롤정 10/10MG"/>
    <x v="124"/>
    <x v="48"/>
    <s v="크레트롤정10/10MG 반제품"/>
    <x v="127"/>
    <x v="1"/>
    <s v="선별"/>
    <x v="1"/>
    <n v="600000"/>
    <n v="7"/>
    <x v="48"/>
    <x v="127"/>
  </r>
  <r>
    <x v="0"/>
    <s v="크레트롤정 10/10MG"/>
    <x v="117"/>
    <x v="48"/>
    <s v="크레트롤정10/10MG 반제품"/>
    <x v="120"/>
    <x v="1"/>
    <s v="선별"/>
    <x v="1"/>
    <n v="600000"/>
    <n v="11"/>
    <x v="48"/>
    <x v="120"/>
  </r>
  <r>
    <x v="0"/>
    <s v="크레트롤정 10/10MG"/>
    <x v="117"/>
    <x v="48"/>
    <s v="크레트롤정10/10MG 반제품"/>
    <x v="120"/>
    <x v="1"/>
    <s v="선별"/>
    <x v="1"/>
    <n v="600000"/>
    <n v="7"/>
    <x v="48"/>
    <x v="120"/>
  </r>
  <r>
    <x v="0"/>
    <s v="크레트롤정 10/10MG"/>
    <x v="118"/>
    <x v="48"/>
    <s v="크레트롤정10/10MG 반제품"/>
    <x v="121"/>
    <x v="1"/>
    <s v="선별"/>
    <x v="1"/>
    <n v="600000"/>
    <n v="11"/>
    <x v="48"/>
    <x v="121"/>
  </r>
  <r>
    <x v="0"/>
    <s v="크레트롤정 10/10MG"/>
    <x v="118"/>
    <x v="48"/>
    <s v="크레트롤정10/10MG 반제품"/>
    <x v="121"/>
    <x v="1"/>
    <s v="선별"/>
    <x v="1"/>
    <n v="600000"/>
    <n v="7"/>
    <x v="48"/>
    <x v="121"/>
  </r>
  <r>
    <x v="0"/>
    <s v="크레트롤정 10/10MG"/>
    <x v="119"/>
    <x v="48"/>
    <s v="크레트롤정10/10MG 반제품"/>
    <x v="122"/>
    <x v="1"/>
    <s v="선별"/>
    <x v="1"/>
    <n v="600000"/>
    <n v="11"/>
    <x v="48"/>
    <x v="122"/>
  </r>
  <r>
    <x v="0"/>
    <s v="크레트롤정 10/10MG"/>
    <x v="119"/>
    <x v="48"/>
    <s v="크레트롤정10/10MG 반제품"/>
    <x v="122"/>
    <x v="1"/>
    <s v="선별"/>
    <x v="1"/>
    <n v="600000"/>
    <n v="7"/>
    <x v="48"/>
    <x v="122"/>
  </r>
  <r>
    <x v="0"/>
    <s v="크레트롤정 10/10MG"/>
    <x v="120"/>
    <x v="48"/>
    <s v="크레트롤정10/10MG 반제품"/>
    <x v="123"/>
    <x v="1"/>
    <s v="선별"/>
    <x v="1"/>
    <n v="600000"/>
    <n v="11"/>
    <x v="48"/>
    <x v="123"/>
  </r>
  <r>
    <x v="0"/>
    <s v="크레트롤정 10/10MG"/>
    <x v="120"/>
    <x v="48"/>
    <s v="크레트롤정10/10MG 반제품"/>
    <x v="123"/>
    <x v="1"/>
    <s v="선별"/>
    <x v="1"/>
    <n v="600000"/>
    <n v="7"/>
    <x v="48"/>
    <x v="123"/>
  </r>
  <r>
    <x v="0"/>
    <s v="크레트롤정 10/10MG"/>
    <x v="121"/>
    <x v="48"/>
    <s v="크레트롤정10/10MG 반제품"/>
    <x v="124"/>
    <x v="1"/>
    <s v="선별"/>
    <x v="1"/>
    <n v="600000"/>
    <n v="11"/>
    <x v="48"/>
    <x v="124"/>
  </r>
  <r>
    <x v="0"/>
    <s v="크레트롤정 10/10MG"/>
    <x v="121"/>
    <x v="48"/>
    <s v="크레트롤정10/10MG 반제품"/>
    <x v="124"/>
    <x v="1"/>
    <s v="선별"/>
    <x v="1"/>
    <n v="600000"/>
    <n v="7"/>
    <x v="48"/>
    <x v="124"/>
  </r>
  <r>
    <x v="0"/>
    <s v="크레트롤정 10/10MG"/>
    <x v="122"/>
    <x v="48"/>
    <s v="크레트롤정10/10MG 반제품"/>
    <x v="125"/>
    <x v="1"/>
    <s v="선별"/>
    <x v="1"/>
    <n v="600000"/>
    <n v="11"/>
    <x v="48"/>
    <x v="125"/>
  </r>
  <r>
    <x v="0"/>
    <s v="크레트롤정 10/10MG"/>
    <x v="122"/>
    <x v="48"/>
    <s v="크레트롤정10/10MG 반제품"/>
    <x v="125"/>
    <x v="1"/>
    <s v="선별"/>
    <x v="1"/>
    <n v="600000"/>
    <n v="7"/>
    <x v="48"/>
    <x v="125"/>
  </r>
  <r>
    <x v="0"/>
    <s v="크레트롤정 10/10MG"/>
    <x v="125"/>
    <x v="49"/>
    <s v="이지산트정10/10MG 반제품 (보령)"/>
    <x v="128"/>
    <x v="2"/>
    <s v="과립"/>
    <x v="2"/>
    <n v="600000"/>
    <n v="18"/>
    <x v="49"/>
    <x v="128"/>
  </r>
  <r>
    <x v="0"/>
    <s v="크레트롤정 10/10MG"/>
    <x v="125"/>
    <x v="49"/>
    <s v="이지산트정10/10MG 반제품 (보령)"/>
    <x v="128"/>
    <x v="3"/>
    <s v="혼합"/>
    <x v="3"/>
    <n v="600000"/>
    <n v="5"/>
    <x v="49"/>
    <x v="128"/>
  </r>
  <r>
    <x v="0"/>
    <s v="크레트롤정 10/10MG"/>
    <x v="125"/>
    <x v="49"/>
    <s v="이지산트정10/10MG 반제품 (보령)"/>
    <x v="128"/>
    <x v="8"/>
    <s v="타정"/>
    <x v="11"/>
    <n v="600000"/>
    <n v="15"/>
    <x v="49"/>
    <x v="128"/>
  </r>
  <r>
    <x v="0"/>
    <s v="크레트롤정 10/10MG"/>
    <x v="125"/>
    <x v="49"/>
    <s v="이지산트정10/10MG 반제품 (보령)"/>
    <x v="128"/>
    <x v="0"/>
    <s v="코팅"/>
    <x v="0"/>
    <n v="600000"/>
    <n v="10"/>
    <x v="49"/>
    <x v="128"/>
  </r>
  <r>
    <x v="0"/>
    <s v="크레트롤정 10/10MG"/>
    <x v="125"/>
    <x v="49"/>
    <s v="이지산트정10/10MG 반제품 (보령)"/>
    <x v="128"/>
    <x v="1"/>
    <s v="선별"/>
    <x v="1"/>
    <n v="600000"/>
    <n v="4"/>
    <x v="49"/>
    <x v="128"/>
  </r>
  <r>
    <x v="0"/>
    <s v="크레트롤정 10/20MG"/>
    <x v="126"/>
    <x v="50"/>
    <s v="크레트롤정10/20MG 반제품"/>
    <x v="129"/>
    <x v="8"/>
    <s v="타정"/>
    <x v="11"/>
    <n v="200000"/>
    <n v="18"/>
    <x v="50"/>
    <x v="129"/>
  </r>
  <r>
    <x v="0"/>
    <s v="크레트롤정 10/20MG"/>
    <x v="126"/>
    <x v="50"/>
    <s v="크레트롤정10/20MG 반제품"/>
    <x v="129"/>
    <x v="8"/>
    <s v="타정"/>
    <x v="11"/>
    <n v="200000"/>
    <n v="24"/>
    <x v="50"/>
    <x v="129"/>
  </r>
  <r>
    <x v="0"/>
    <s v="크레트롤정 10/20MG"/>
    <x v="127"/>
    <x v="50"/>
    <s v="크레트롤정10/20MG 반제품"/>
    <x v="130"/>
    <x v="8"/>
    <s v="타정"/>
    <x v="11"/>
    <n v="200000"/>
    <n v="18"/>
    <x v="50"/>
    <x v="130"/>
  </r>
  <r>
    <x v="0"/>
    <s v="크레트롤정 10/20MG"/>
    <x v="127"/>
    <x v="50"/>
    <s v="크레트롤정10/20MG 반제품"/>
    <x v="130"/>
    <x v="8"/>
    <s v="타정"/>
    <x v="11"/>
    <n v="200000"/>
    <n v="24"/>
    <x v="50"/>
    <x v="130"/>
  </r>
  <r>
    <x v="0"/>
    <s v="크레트롤정 10/20MG"/>
    <x v="126"/>
    <x v="50"/>
    <s v="크레트롤정10/20MG 반제품"/>
    <x v="129"/>
    <x v="0"/>
    <s v="코팅"/>
    <x v="22"/>
    <n v="200000"/>
    <n v="6"/>
    <x v="50"/>
    <x v="129"/>
  </r>
  <r>
    <x v="0"/>
    <s v="크레트롤정 10/20MG"/>
    <x v="126"/>
    <x v="50"/>
    <s v="크레트롤정10/20MG 반제품"/>
    <x v="129"/>
    <x v="0"/>
    <s v="코팅"/>
    <x v="22"/>
    <n v="200000"/>
    <n v="6"/>
    <x v="50"/>
    <x v="129"/>
  </r>
  <r>
    <x v="0"/>
    <s v="크레트롤정 10/20MG"/>
    <x v="127"/>
    <x v="50"/>
    <s v="크레트롤정10/20MG 반제품"/>
    <x v="130"/>
    <x v="0"/>
    <s v="코팅"/>
    <x v="22"/>
    <n v="200000"/>
    <n v="6"/>
    <x v="50"/>
    <x v="130"/>
  </r>
  <r>
    <x v="0"/>
    <s v="크레트롤정 10/20MG"/>
    <x v="127"/>
    <x v="50"/>
    <s v="크레트롤정10/20MG 반제품"/>
    <x v="130"/>
    <x v="0"/>
    <s v="코팅"/>
    <x v="22"/>
    <n v="200000"/>
    <n v="6"/>
    <x v="50"/>
    <x v="130"/>
  </r>
  <r>
    <x v="0"/>
    <s v="크레트롤정 10/20MG"/>
    <x v="126"/>
    <x v="50"/>
    <s v="크레트롤정10/20MG 반제품"/>
    <x v="129"/>
    <x v="1"/>
    <s v="선별"/>
    <x v="1"/>
    <n v="200000"/>
    <n v="5"/>
    <x v="50"/>
    <x v="129"/>
  </r>
  <r>
    <x v="0"/>
    <s v="크레트롤정 10/20MG"/>
    <x v="126"/>
    <x v="50"/>
    <s v="크레트롤정10/20MG 반제품"/>
    <x v="129"/>
    <x v="1"/>
    <s v="선별"/>
    <x v="1"/>
    <n v="200000"/>
    <n v="4"/>
    <x v="50"/>
    <x v="129"/>
  </r>
  <r>
    <x v="0"/>
    <s v="크레트롤정 10/20MG"/>
    <x v="127"/>
    <x v="50"/>
    <s v="크레트롤정10/20MG 반제품"/>
    <x v="130"/>
    <x v="1"/>
    <s v="선별"/>
    <x v="1"/>
    <n v="200000"/>
    <n v="5"/>
    <x v="50"/>
    <x v="130"/>
  </r>
  <r>
    <x v="0"/>
    <s v="크레트롤정 10/20MG"/>
    <x v="127"/>
    <x v="50"/>
    <s v="크레트롤정10/20MG 반제품"/>
    <x v="130"/>
    <x v="1"/>
    <s v="선별"/>
    <x v="1"/>
    <n v="200000"/>
    <n v="4"/>
    <x v="50"/>
    <x v="130"/>
  </r>
  <r>
    <x v="0"/>
    <s v="크레트롤정 10/5MG"/>
    <x v="128"/>
    <x v="51"/>
    <s v="크레트롤정10/5MG 반제품"/>
    <x v="131"/>
    <x v="2"/>
    <s v="과립"/>
    <x v="2"/>
    <n v="1000000"/>
    <n v="13"/>
    <x v="51"/>
    <x v="131"/>
  </r>
  <r>
    <x v="0"/>
    <s v="크레트롤정 10/5MG"/>
    <x v="128"/>
    <x v="51"/>
    <s v="크레트롤정10/5MG 반제품"/>
    <x v="131"/>
    <x v="2"/>
    <s v="과립"/>
    <x v="2"/>
    <n v="1000000"/>
    <n v="13"/>
    <x v="51"/>
    <x v="131"/>
  </r>
  <r>
    <x v="0"/>
    <s v="크레트롤정 10/5MG"/>
    <x v="129"/>
    <x v="51"/>
    <s v="크레트롤정10/5MG 반제품"/>
    <x v="132"/>
    <x v="2"/>
    <s v="과립"/>
    <x v="2"/>
    <n v="1000000"/>
    <n v="13"/>
    <x v="51"/>
    <x v="132"/>
  </r>
  <r>
    <x v="0"/>
    <s v="크레트롤정 10/5MG"/>
    <x v="129"/>
    <x v="51"/>
    <s v="크레트롤정10/5MG 반제품"/>
    <x v="132"/>
    <x v="2"/>
    <s v="과립"/>
    <x v="2"/>
    <n v="1000000"/>
    <n v="13"/>
    <x v="51"/>
    <x v="132"/>
  </r>
  <r>
    <x v="0"/>
    <s v="크레트롤정 10/5MG"/>
    <x v="130"/>
    <x v="51"/>
    <s v="크레트롤정10/5MG 반제품"/>
    <x v="133"/>
    <x v="2"/>
    <s v="과립"/>
    <x v="2"/>
    <n v="1000000"/>
    <n v="13"/>
    <x v="51"/>
    <x v="133"/>
  </r>
  <r>
    <x v="0"/>
    <s v="크레트롤정 10/5MG"/>
    <x v="130"/>
    <x v="51"/>
    <s v="크레트롤정10/5MG 반제품"/>
    <x v="133"/>
    <x v="2"/>
    <s v="과립"/>
    <x v="2"/>
    <n v="1000000"/>
    <n v="13"/>
    <x v="51"/>
    <x v="133"/>
  </r>
  <r>
    <x v="0"/>
    <s v="크레트롤정 10/5MG"/>
    <x v="128"/>
    <x v="51"/>
    <s v="크레트롤정10/5MG 반제품"/>
    <x v="131"/>
    <x v="3"/>
    <s v="혼합"/>
    <x v="5"/>
    <n v="1000000"/>
    <n v="3"/>
    <x v="51"/>
    <x v="131"/>
  </r>
  <r>
    <x v="0"/>
    <s v="크레트롤정 10/5MG"/>
    <x v="128"/>
    <x v="51"/>
    <s v="크레트롤정10/5MG 반제품"/>
    <x v="131"/>
    <x v="3"/>
    <s v="혼합"/>
    <x v="5"/>
    <n v="1000000"/>
    <n v="3"/>
    <x v="51"/>
    <x v="131"/>
  </r>
  <r>
    <x v="0"/>
    <s v="크레트롤정 10/5MG"/>
    <x v="129"/>
    <x v="51"/>
    <s v="크레트롤정10/5MG 반제품"/>
    <x v="132"/>
    <x v="3"/>
    <s v="혼합"/>
    <x v="5"/>
    <n v="1000000"/>
    <n v="3"/>
    <x v="51"/>
    <x v="132"/>
  </r>
  <r>
    <x v="0"/>
    <s v="크레트롤정 10/5MG"/>
    <x v="129"/>
    <x v="51"/>
    <s v="크레트롤정10/5MG 반제품"/>
    <x v="132"/>
    <x v="3"/>
    <s v="혼합"/>
    <x v="5"/>
    <n v="1000000"/>
    <n v="3"/>
    <x v="51"/>
    <x v="132"/>
  </r>
  <r>
    <x v="0"/>
    <s v="크레트롤정 10/5MG"/>
    <x v="130"/>
    <x v="51"/>
    <s v="크레트롤정10/5MG 반제품"/>
    <x v="133"/>
    <x v="3"/>
    <s v="혼합"/>
    <x v="5"/>
    <n v="1000000"/>
    <n v="3"/>
    <x v="51"/>
    <x v="133"/>
  </r>
  <r>
    <x v="0"/>
    <s v="크레트롤정 10/5MG"/>
    <x v="130"/>
    <x v="51"/>
    <s v="크레트롤정10/5MG 반제품"/>
    <x v="133"/>
    <x v="3"/>
    <s v="혼합"/>
    <x v="5"/>
    <n v="1000000"/>
    <n v="3"/>
    <x v="51"/>
    <x v="133"/>
  </r>
  <r>
    <x v="0"/>
    <s v="크레트롤정 10/5MG"/>
    <x v="131"/>
    <x v="51"/>
    <s v="크레트롤정10/5MG 반제품"/>
    <x v="134"/>
    <x v="8"/>
    <s v="타정"/>
    <x v="11"/>
    <n v="1000000"/>
    <n v="19"/>
    <x v="51"/>
    <x v="134"/>
  </r>
  <r>
    <x v="0"/>
    <s v="크레트롤정 10/5MG"/>
    <x v="131"/>
    <x v="51"/>
    <s v="크레트롤정10/5MG 반제품"/>
    <x v="134"/>
    <x v="8"/>
    <s v="타정"/>
    <x v="11"/>
    <n v="1000000"/>
    <n v="19"/>
    <x v="51"/>
    <x v="134"/>
  </r>
  <r>
    <x v="0"/>
    <s v="크레트롤정 10/5MG"/>
    <x v="132"/>
    <x v="51"/>
    <s v="크레트롤정10/5MG 반제품"/>
    <x v="135"/>
    <x v="8"/>
    <s v="타정"/>
    <x v="11"/>
    <n v="1000000"/>
    <n v="19"/>
    <x v="51"/>
    <x v="135"/>
  </r>
  <r>
    <x v="0"/>
    <s v="크레트롤정 10/5MG"/>
    <x v="132"/>
    <x v="51"/>
    <s v="크레트롤정10/5MG 반제품"/>
    <x v="135"/>
    <x v="8"/>
    <s v="타정"/>
    <x v="11"/>
    <n v="1000000"/>
    <n v="19"/>
    <x v="51"/>
    <x v="135"/>
  </r>
  <r>
    <x v="0"/>
    <s v="크레트롤정 10/5MG"/>
    <x v="128"/>
    <x v="51"/>
    <s v="크레트롤정10/5MG 반제품"/>
    <x v="131"/>
    <x v="8"/>
    <s v="타정"/>
    <x v="11"/>
    <n v="1000000"/>
    <n v="19"/>
    <x v="51"/>
    <x v="131"/>
  </r>
  <r>
    <x v="0"/>
    <s v="크레트롤정 10/5MG"/>
    <x v="128"/>
    <x v="51"/>
    <s v="크레트롤정10/5MG 반제품"/>
    <x v="131"/>
    <x v="8"/>
    <s v="타정"/>
    <x v="11"/>
    <n v="1000000"/>
    <n v="19"/>
    <x v="51"/>
    <x v="131"/>
  </r>
  <r>
    <x v="0"/>
    <s v="크레트롤정 10/5MG"/>
    <x v="129"/>
    <x v="51"/>
    <s v="크레트롤정10/5MG 반제품"/>
    <x v="132"/>
    <x v="8"/>
    <s v="타정"/>
    <x v="11"/>
    <n v="1000000"/>
    <n v="19"/>
    <x v="51"/>
    <x v="132"/>
  </r>
  <r>
    <x v="0"/>
    <s v="크레트롤정 10/5MG"/>
    <x v="129"/>
    <x v="51"/>
    <s v="크레트롤정10/5MG 반제품"/>
    <x v="132"/>
    <x v="8"/>
    <s v="타정"/>
    <x v="11"/>
    <n v="1000000"/>
    <n v="19"/>
    <x v="51"/>
    <x v="132"/>
  </r>
  <r>
    <x v="0"/>
    <s v="크레트롤정 10/5MG"/>
    <x v="130"/>
    <x v="51"/>
    <s v="크레트롤정10/5MG 반제품"/>
    <x v="133"/>
    <x v="8"/>
    <s v="타정"/>
    <x v="11"/>
    <n v="1000000"/>
    <n v="19"/>
    <x v="51"/>
    <x v="133"/>
  </r>
  <r>
    <x v="0"/>
    <s v="크레트롤정 10/5MG"/>
    <x v="130"/>
    <x v="51"/>
    <s v="크레트롤정10/5MG 반제품"/>
    <x v="133"/>
    <x v="8"/>
    <s v="타정"/>
    <x v="11"/>
    <n v="1000000"/>
    <n v="19"/>
    <x v="51"/>
    <x v="133"/>
  </r>
  <r>
    <x v="0"/>
    <s v="크레트롤정 10/5MG"/>
    <x v="131"/>
    <x v="51"/>
    <s v="크레트롤정10/5MG 반제품"/>
    <x v="134"/>
    <x v="0"/>
    <s v="코팅"/>
    <x v="6"/>
    <n v="1000000"/>
    <n v="13"/>
    <x v="51"/>
    <x v="134"/>
  </r>
  <r>
    <x v="0"/>
    <s v="크레트롤정 10/5MG"/>
    <x v="131"/>
    <x v="51"/>
    <s v="크레트롤정10/5MG 반제품"/>
    <x v="134"/>
    <x v="0"/>
    <s v="코팅"/>
    <x v="6"/>
    <n v="1000000"/>
    <n v="13"/>
    <x v="51"/>
    <x v="134"/>
  </r>
  <r>
    <x v="0"/>
    <s v="크레트롤정 10/5MG"/>
    <x v="132"/>
    <x v="51"/>
    <s v="크레트롤정10/5MG 반제품"/>
    <x v="135"/>
    <x v="0"/>
    <s v="코팅"/>
    <x v="6"/>
    <n v="1000000"/>
    <n v="13"/>
    <x v="51"/>
    <x v="135"/>
  </r>
  <r>
    <x v="0"/>
    <s v="크레트롤정 10/5MG"/>
    <x v="132"/>
    <x v="51"/>
    <s v="크레트롤정10/5MG 반제품"/>
    <x v="135"/>
    <x v="0"/>
    <s v="코팅"/>
    <x v="6"/>
    <n v="1000000"/>
    <n v="13"/>
    <x v="51"/>
    <x v="135"/>
  </r>
  <r>
    <x v="0"/>
    <s v="크레트롤정 10/5MG"/>
    <x v="128"/>
    <x v="51"/>
    <s v="크레트롤정10/5MG 반제품"/>
    <x v="131"/>
    <x v="0"/>
    <s v="코팅"/>
    <x v="6"/>
    <n v="1000000"/>
    <n v="13"/>
    <x v="51"/>
    <x v="131"/>
  </r>
  <r>
    <x v="0"/>
    <s v="크레트롤정 10/5MG"/>
    <x v="128"/>
    <x v="51"/>
    <s v="크레트롤정10/5MG 반제품"/>
    <x v="131"/>
    <x v="0"/>
    <s v="코팅"/>
    <x v="6"/>
    <n v="1000000"/>
    <n v="13"/>
    <x v="51"/>
    <x v="131"/>
  </r>
  <r>
    <x v="0"/>
    <s v="크레트롤정 10/5MG"/>
    <x v="129"/>
    <x v="51"/>
    <s v="크레트롤정10/5MG 반제품"/>
    <x v="132"/>
    <x v="0"/>
    <s v="코팅"/>
    <x v="6"/>
    <n v="1000000"/>
    <n v="13"/>
    <x v="51"/>
    <x v="132"/>
  </r>
  <r>
    <x v="0"/>
    <s v="크레트롤정 10/5MG"/>
    <x v="129"/>
    <x v="51"/>
    <s v="크레트롤정10/5MG 반제품"/>
    <x v="132"/>
    <x v="0"/>
    <s v="코팅"/>
    <x v="6"/>
    <n v="1000000"/>
    <n v="13"/>
    <x v="51"/>
    <x v="132"/>
  </r>
  <r>
    <x v="0"/>
    <s v="크레트롤정 10/5MG"/>
    <x v="130"/>
    <x v="51"/>
    <s v="크레트롤정10/5MG 반제품"/>
    <x v="133"/>
    <x v="0"/>
    <s v="코팅"/>
    <x v="6"/>
    <n v="1000000"/>
    <n v="13"/>
    <x v="51"/>
    <x v="133"/>
  </r>
  <r>
    <x v="0"/>
    <s v="크레트롤정 10/5MG"/>
    <x v="130"/>
    <x v="51"/>
    <s v="크레트롤정10/5MG 반제품"/>
    <x v="133"/>
    <x v="0"/>
    <s v="코팅"/>
    <x v="6"/>
    <n v="1000000"/>
    <n v="13"/>
    <x v="51"/>
    <x v="133"/>
  </r>
  <r>
    <x v="0"/>
    <s v="크레트롤정 10/5MG"/>
    <x v="131"/>
    <x v="51"/>
    <s v="크레트롤정10/5MG 반제품"/>
    <x v="134"/>
    <x v="1"/>
    <s v="선별"/>
    <x v="1"/>
    <n v="1000000"/>
    <n v="9"/>
    <x v="51"/>
    <x v="134"/>
  </r>
  <r>
    <x v="0"/>
    <s v="크레트롤정 10/5MG"/>
    <x v="131"/>
    <x v="51"/>
    <s v="크레트롤정10/5MG 반제품"/>
    <x v="134"/>
    <x v="1"/>
    <s v="선별"/>
    <x v="1"/>
    <n v="1000000"/>
    <n v="9"/>
    <x v="51"/>
    <x v="134"/>
  </r>
  <r>
    <x v="0"/>
    <s v="크레트롤정 10/5MG"/>
    <x v="132"/>
    <x v="51"/>
    <s v="크레트롤정10/5MG 반제품"/>
    <x v="135"/>
    <x v="1"/>
    <s v="선별"/>
    <x v="1"/>
    <n v="1000000"/>
    <n v="9"/>
    <x v="51"/>
    <x v="135"/>
  </r>
  <r>
    <x v="0"/>
    <s v="크레트롤정 10/5MG"/>
    <x v="132"/>
    <x v="51"/>
    <s v="크레트롤정10/5MG 반제품"/>
    <x v="135"/>
    <x v="1"/>
    <s v="선별"/>
    <x v="1"/>
    <n v="1000000"/>
    <n v="9"/>
    <x v="51"/>
    <x v="135"/>
  </r>
  <r>
    <x v="0"/>
    <s v="크레트롤정 10/5MG"/>
    <x v="128"/>
    <x v="51"/>
    <s v="크레트롤정10/5MG 반제품"/>
    <x v="131"/>
    <x v="1"/>
    <s v="선별"/>
    <x v="1"/>
    <n v="1000000"/>
    <n v="9"/>
    <x v="51"/>
    <x v="131"/>
  </r>
  <r>
    <x v="0"/>
    <s v="크레트롤정 10/5MG"/>
    <x v="128"/>
    <x v="51"/>
    <s v="크레트롤정10/5MG 반제품"/>
    <x v="131"/>
    <x v="1"/>
    <s v="선별"/>
    <x v="1"/>
    <n v="1000000"/>
    <n v="9"/>
    <x v="51"/>
    <x v="131"/>
  </r>
  <r>
    <x v="0"/>
    <s v="크레트롤정 10/5MG"/>
    <x v="129"/>
    <x v="51"/>
    <s v="크레트롤정10/5MG 반제품"/>
    <x v="132"/>
    <x v="1"/>
    <s v="선별"/>
    <x v="1"/>
    <n v="1000000"/>
    <n v="9"/>
    <x v="51"/>
    <x v="132"/>
  </r>
  <r>
    <x v="0"/>
    <s v="크레트롤정 10/5MG"/>
    <x v="129"/>
    <x v="51"/>
    <s v="크레트롤정10/5MG 반제품"/>
    <x v="132"/>
    <x v="1"/>
    <s v="선별"/>
    <x v="1"/>
    <n v="1000000"/>
    <n v="9"/>
    <x v="51"/>
    <x v="132"/>
  </r>
  <r>
    <x v="0"/>
    <s v="크레트롤정 10/5MG"/>
    <x v="130"/>
    <x v="51"/>
    <s v="크레트롤정10/5MG 반제품"/>
    <x v="133"/>
    <x v="1"/>
    <s v="선별"/>
    <x v="1"/>
    <n v="1000000"/>
    <n v="9"/>
    <x v="51"/>
    <x v="133"/>
  </r>
  <r>
    <x v="0"/>
    <s v="크레트롤정 10/5MG"/>
    <x v="130"/>
    <x v="51"/>
    <s v="크레트롤정10/5MG 반제품"/>
    <x v="133"/>
    <x v="1"/>
    <s v="선별"/>
    <x v="1"/>
    <n v="1000000"/>
    <n v="9"/>
    <x v="51"/>
    <x v="133"/>
  </r>
  <r>
    <x v="0"/>
    <s v="크레트롤정 10/5MG"/>
    <x v="125"/>
    <x v="52"/>
    <s v="이지산트정10/5MG 반제품 (보령)"/>
    <x v="136"/>
    <x v="2"/>
    <s v="과립"/>
    <x v="2"/>
    <n v="1000000"/>
    <n v="18"/>
    <x v="52"/>
    <x v="136"/>
  </r>
  <r>
    <x v="0"/>
    <s v="크레트롤정 10/5MG"/>
    <x v="125"/>
    <x v="52"/>
    <s v="이지산트정10/5MG 반제품 (보령)"/>
    <x v="136"/>
    <x v="3"/>
    <s v="혼합"/>
    <x v="3"/>
    <n v="1000000"/>
    <n v="5"/>
    <x v="52"/>
    <x v="136"/>
  </r>
  <r>
    <x v="0"/>
    <s v="크레트롤정 10/5MG"/>
    <x v="125"/>
    <x v="52"/>
    <s v="이지산트정10/5MG 반제품 (보령)"/>
    <x v="136"/>
    <x v="8"/>
    <s v="타정"/>
    <x v="11"/>
    <n v="1000000"/>
    <n v="21"/>
    <x v="52"/>
    <x v="136"/>
  </r>
  <r>
    <x v="0"/>
    <s v="크레트롤정 10/5MG"/>
    <x v="125"/>
    <x v="52"/>
    <s v="이지산트정10/5MG 반제품 (보령)"/>
    <x v="136"/>
    <x v="0"/>
    <s v="코팅"/>
    <x v="0"/>
    <n v="1000000"/>
    <n v="8"/>
    <x v="52"/>
    <x v="136"/>
  </r>
  <r>
    <x v="0"/>
    <s v="크레트롤정 10/5MG"/>
    <x v="125"/>
    <x v="52"/>
    <s v="이지산트정10/5MG 반제품 (보령)"/>
    <x v="136"/>
    <x v="1"/>
    <s v="선별"/>
    <x v="1"/>
    <n v="1000000"/>
    <n v="6"/>
    <x v="52"/>
    <x v="136"/>
  </r>
  <r>
    <x v="0"/>
    <s v="트로돈캡슐 50MG"/>
    <x v="133"/>
    <x v="53"/>
    <s v="트로돈캡슐50MG 반제품"/>
    <x v="137"/>
    <x v="1"/>
    <s v="선별"/>
    <x v="7"/>
    <n v="600000"/>
    <n v="13"/>
    <x v="53"/>
    <x v="137"/>
  </r>
  <r>
    <x v="0"/>
    <s v="트로돈캡슐 50MG"/>
    <x v="134"/>
    <x v="53"/>
    <s v="트로돈캡슐50MG 반제품"/>
    <x v="138"/>
    <x v="1"/>
    <s v="선별"/>
    <x v="7"/>
    <n v="600000"/>
    <n v="13"/>
    <x v="53"/>
    <x v="138"/>
  </r>
  <r>
    <x v="0"/>
    <s v="트로돈캡슐 50MG"/>
    <x v="133"/>
    <x v="53"/>
    <s v="트로돈캡슐50MG 반제품"/>
    <x v="137"/>
    <x v="6"/>
    <s v="질량선별"/>
    <x v="8"/>
    <n v="600000"/>
    <n v="25"/>
    <x v="53"/>
    <x v="137"/>
  </r>
  <r>
    <x v="0"/>
    <s v="트로돈캡슐 50MG"/>
    <x v="134"/>
    <x v="53"/>
    <s v="트로돈캡슐50MG 반제품"/>
    <x v="138"/>
    <x v="6"/>
    <s v="질량선별"/>
    <x v="8"/>
    <n v="600000"/>
    <n v="25"/>
    <x v="53"/>
    <x v="138"/>
  </r>
  <r>
    <x v="1"/>
    <s v="다파릴듀오서방정10/1000MG"/>
    <x v="135"/>
    <x v="54"/>
    <s v="폴민다파서방정10/1000mg 반제품 (녹십자)"/>
    <x v="139"/>
    <x v="8"/>
    <s v="타정"/>
    <x v="23"/>
    <n v="200000"/>
    <n v="15"/>
    <x v="0"/>
    <x v="139"/>
  </r>
  <r>
    <x v="1"/>
    <s v="다파릴듀오서방정10/1000MG"/>
    <x v="135"/>
    <x v="54"/>
    <s v="폴민다파서방정10/1000mg 반제품 (녹십자)"/>
    <x v="139"/>
    <x v="8"/>
    <s v="타정"/>
    <x v="23"/>
    <n v="200000"/>
    <n v="15"/>
    <x v="0"/>
    <x v="139"/>
  </r>
  <r>
    <x v="1"/>
    <s v="다파릴듀오서방정10/1000MG"/>
    <x v="136"/>
    <x v="54"/>
    <s v="폴민다파서방정10/1000mg 반제품 (녹십자)"/>
    <x v="140"/>
    <x v="0"/>
    <s v="코팅"/>
    <x v="24"/>
    <n v="200000"/>
    <n v="10"/>
    <x v="0"/>
    <x v="140"/>
  </r>
  <r>
    <x v="1"/>
    <s v="다파릴듀오서방정10/1000MG"/>
    <x v="135"/>
    <x v="54"/>
    <s v="폴민다파서방정10/1000mg 반제품 (녹십자)"/>
    <x v="139"/>
    <x v="0"/>
    <s v="코팅"/>
    <x v="24"/>
    <n v="200000"/>
    <n v="10"/>
    <x v="0"/>
    <x v="139"/>
  </r>
  <r>
    <x v="1"/>
    <s v="다파릴듀오서방정10/1000MG"/>
    <x v="136"/>
    <x v="54"/>
    <s v="폴민다파서방정10/1000mg 반제품 (녹십자)"/>
    <x v="140"/>
    <x v="0"/>
    <s v="코팅"/>
    <x v="24"/>
    <n v="200000"/>
    <n v="10"/>
    <x v="0"/>
    <x v="140"/>
  </r>
  <r>
    <x v="1"/>
    <s v="다파릴듀오서방정10/1000MG"/>
    <x v="135"/>
    <x v="54"/>
    <s v="폴민다파서방정10/1000mg 반제품 (녹십자)"/>
    <x v="139"/>
    <x v="0"/>
    <s v="코팅"/>
    <x v="24"/>
    <n v="200000"/>
    <n v="10"/>
    <x v="0"/>
    <x v="139"/>
  </r>
  <r>
    <x v="1"/>
    <s v="다파릴듀오서방정10/1000MG"/>
    <x v="136"/>
    <x v="54"/>
    <s v="폴민다파서방정10/1000mg 반제품 (녹십자)"/>
    <x v="140"/>
    <x v="1"/>
    <s v="선별"/>
    <x v="25"/>
    <n v="200000"/>
    <n v="12"/>
    <x v="0"/>
    <x v="140"/>
  </r>
  <r>
    <x v="1"/>
    <s v="다파릴듀오서방정10/1000MG"/>
    <x v="135"/>
    <x v="54"/>
    <s v="폴민다파서방정10/1000mg 반제품 (녹십자)"/>
    <x v="139"/>
    <x v="1"/>
    <s v="선별"/>
    <x v="25"/>
    <n v="200000"/>
    <n v="12"/>
    <x v="0"/>
    <x v="139"/>
  </r>
  <r>
    <x v="1"/>
    <s v="다파릴듀오서방정10/1000MG"/>
    <x v="136"/>
    <x v="54"/>
    <s v="폴민다파서방정10/1000mg 반제품 (녹십자)"/>
    <x v="140"/>
    <x v="1"/>
    <s v="선별"/>
    <x v="25"/>
    <n v="200000"/>
    <n v="12"/>
    <x v="0"/>
    <x v="140"/>
  </r>
  <r>
    <x v="1"/>
    <s v="다파릴듀오서방정10/1000MG"/>
    <x v="135"/>
    <x v="54"/>
    <s v="폴민다파서방정10/1000mg 반제품 (녹십자)"/>
    <x v="139"/>
    <x v="1"/>
    <s v="선별"/>
    <x v="25"/>
    <n v="200000"/>
    <n v="12"/>
    <x v="0"/>
    <x v="139"/>
  </r>
  <r>
    <x v="1"/>
    <s v="다파릴듀오서방정10/1000MG"/>
    <x v="135"/>
    <x v="54"/>
    <s v="폴민다파서방정10/1000mg 반제품 (녹십자)"/>
    <x v="139"/>
    <x v="8"/>
    <s v="타정"/>
    <x v="23"/>
    <n v="200000"/>
    <n v="15"/>
    <x v="0"/>
    <x v="139"/>
  </r>
  <r>
    <x v="1"/>
    <s v="다파릴듀오서방정10/1000MG"/>
    <x v="135"/>
    <x v="54"/>
    <s v="폴민다파서방정10/1000mg 반제품 (녹십자)"/>
    <x v="139"/>
    <x v="8"/>
    <s v="타정"/>
    <x v="23"/>
    <n v="200000"/>
    <n v="15"/>
    <x v="0"/>
    <x v="139"/>
  </r>
  <r>
    <x v="1"/>
    <s v="다파릴듀오서방정10/1000MG"/>
    <x v="136"/>
    <x v="54"/>
    <s v="폴민다파서방정10/1000mg 반제품 (녹십자)"/>
    <x v="140"/>
    <x v="0"/>
    <s v="코팅"/>
    <x v="24"/>
    <n v="200000"/>
    <n v="10"/>
    <x v="0"/>
    <x v="140"/>
  </r>
  <r>
    <x v="1"/>
    <s v="다파릴듀오서방정10/1000MG"/>
    <x v="135"/>
    <x v="54"/>
    <s v="폴민다파서방정10/1000mg 반제품 (녹십자)"/>
    <x v="139"/>
    <x v="0"/>
    <s v="코팅"/>
    <x v="24"/>
    <n v="200000"/>
    <n v="10"/>
    <x v="0"/>
    <x v="139"/>
  </r>
  <r>
    <x v="1"/>
    <s v="다파릴듀오서방정10/1000MG"/>
    <x v="136"/>
    <x v="54"/>
    <s v="폴민다파서방정10/1000mg 반제품 (녹십자)"/>
    <x v="140"/>
    <x v="0"/>
    <s v="코팅"/>
    <x v="24"/>
    <n v="200000"/>
    <n v="10"/>
    <x v="0"/>
    <x v="140"/>
  </r>
  <r>
    <x v="1"/>
    <s v="다파릴듀오서방정10/1000MG"/>
    <x v="135"/>
    <x v="54"/>
    <s v="폴민다파서방정10/1000mg 반제품 (녹십자)"/>
    <x v="139"/>
    <x v="0"/>
    <s v="코팅"/>
    <x v="24"/>
    <n v="200000"/>
    <n v="10"/>
    <x v="0"/>
    <x v="139"/>
  </r>
  <r>
    <x v="1"/>
    <s v="다파릴듀오서방정10/1000MG"/>
    <x v="136"/>
    <x v="54"/>
    <s v="폴민다파서방정10/1000mg 반제품 (녹십자)"/>
    <x v="140"/>
    <x v="1"/>
    <s v="선별"/>
    <x v="25"/>
    <n v="200000"/>
    <n v="12"/>
    <x v="0"/>
    <x v="140"/>
  </r>
  <r>
    <x v="1"/>
    <s v="다파릴듀오서방정10/1000MG"/>
    <x v="135"/>
    <x v="54"/>
    <s v="폴민다파서방정10/1000mg 반제품 (녹십자)"/>
    <x v="139"/>
    <x v="1"/>
    <s v="선별"/>
    <x v="25"/>
    <n v="200000"/>
    <n v="12"/>
    <x v="0"/>
    <x v="139"/>
  </r>
  <r>
    <x v="1"/>
    <s v="다파릴듀오서방정10/1000MG"/>
    <x v="136"/>
    <x v="54"/>
    <s v="폴민다파서방정10/1000mg 반제품 (녹십자)"/>
    <x v="140"/>
    <x v="1"/>
    <s v="선별"/>
    <x v="25"/>
    <n v="200000"/>
    <n v="12"/>
    <x v="0"/>
    <x v="140"/>
  </r>
  <r>
    <x v="1"/>
    <s v="다파릴듀오서방정10/1000MG"/>
    <x v="135"/>
    <x v="54"/>
    <s v="폴민다파서방정10/1000mg 반제품 (녹십자)"/>
    <x v="139"/>
    <x v="1"/>
    <s v="선별"/>
    <x v="25"/>
    <n v="200000"/>
    <n v="12"/>
    <x v="0"/>
    <x v="139"/>
  </r>
  <r>
    <x v="1"/>
    <s v="다파릴듀오서방정10/1000MG"/>
    <x v="137"/>
    <x v="2"/>
    <s v="다파릴듀오서방정10/1000mg 반제품"/>
    <x v="141"/>
    <x v="8"/>
    <s v="타정"/>
    <x v="23"/>
    <n v="200000"/>
    <n v="15"/>
    <x v="2"/>
    <x v="141"/>
  </r>
  <r>
    <x v="1"/>
    <s v="다파릴듀오서방정10/1000MG"/>
    <x v="138"/>
    <x v="2"/>
    <s v="다파릴듀오서방정10/1000mg 반제품"/>
    <x v="142"/>
    <x v="8"/>
    <s v="타정"/>
    <x v="23"/>
    <n v="200000"/>
    <n v="15"/>
    <x v="2"/>
    <x v="142"/>
  </r>
  <r>
    <x v="1"/>
    <s v="다파릴듀오서방정10/1000MG"/>
    <x v="2"/>
    <x v="2"/>
    <s v="다파릴듀오서방정10/1000mg 반제품"/>
    <x v="2"/>
    <x v="8"/>
    <s v="타정"/>
    <x v="23"/>
    <n v="200000"/>
    <n v="15"/>
    <x v="2"/>
    <x v="2"/>
  </r>
  <r>
    <x v="1"/>
    <s v="다파릴듀오서방정10/1000MG"/>
    <x v="137"/>
    <x v="2"/>
    <s v="다파릴듀오서방정10/1000mg 반제품"/>
    <x v="141"/>
    <x v="8"/>
    <s v="타정"/>
    <x v="23"/>
    <n v="200000"/>
    <n v="15"/>
    <x v="2"/>
    <x v="141"/>
  </r>
  <r>
    <x v="1"/>
    <s v="다파릴듀오서방정10/1000MG"/>
    <x v="138"/>
    <x v="2"/>
    <s v="다파릴듀오서방정10/1000mg 반제품"/>
    <x v="142"/>
    <x v="8"/>
    <s v="타정"/>
    <x v="23"/>
    <n v="200000"/>
    <n v="15"/>
    <x v="2"/>
    <x v="142"/>
  </r>
  <r>
    <x v="1"/>
    <s v="다파릴듀오서방정10/1000MG"/>
    <x v="2"/>
    <x v="2"/>
    <s v="다파릴듀오서방정10/1000mg 반제품"/>
    <x v="2"/>
    <x v="8"/>
    <s v="타정"/>
    <x v="23"/>
    <n v="200000"/>
    <n v="15"/>
    <x v="2"/>
    <x v="2"/>
  </r>
  <r>
    <x v="1"/>
    <s v="다파릴듀오서방정10/1000MG"/>
    <x v="137"/>
    <x v="2"/>
    <s v="다파릴듀오서방정10/1000mg 반제품"/>
    <x v="141"/>
    <x v="0"/>
    <s v="코팅"/>
    <x v="24"/>
    <n v="200000"/>
    <n v="10"/>
    <x v="2"/>
    <x v="141"/>
  </r>
  <r>
    <x v="1"/>
    <s v="다파릴듀오서방정10/1000MG"/>
    <x v="138"/>
    <x v="2"/>
    <s v="다파릴듀오서방정10/1000mg 반제품"/>
    <x v="142"/>
    <x v="0"/>
    <s v="코팅"/>
    <x v="24"/>
    <n v="200000"/>
    <n v="10"/>
    <x v="2"/>
    <x v="142"/>
  </r>
  <r>
    <x v="1"/>
    <s v="다파릴듀오서방정10/1000MG"/>
    <x v="2"/>
    <x v="2"/>
    <s v="다파릴듀오서방정10/1000mg 반제품"/>
    <x v="2"/>
    <x v="0"/>
    <s v="코팅"/>
    <x v="24"/>
    <n v="200000"/>
    <n v="10"/>
    <x v="2"/>
    <x v="2"/>
  </r>
  <r>
    <x v="1"/>
    <s v="다파릴듀오서방정10/1000MG"/>
    <x v="137"/>
    <x v="2"/>
    <s v="다파릴듀오서방정10/1000mg 반제품"/>
    <x v="141"/>
    <x v="0"/>
    <s v="코팅"/>
    <x v="24"/>
    <n v="200000"/>
    <n v="10"/>
    <x v="2"/>
    <x v="141"/>
  </r>
  <r>
    <x v="1"/>
    <s v="다파릴듀오서방정10/1000MG"/>
    <x v="138"/>
    <x v="2"/>
    <s v="다파릴듀오서방정10/1000mg 반제품"/>
    <x v="142"/>
    <x v="0"/>
    <s v="코팅"/>
    <x v="24"/>
    <n v="200000"/>
    <n v="10"/>
    <x v="2"/>
    <x v="142"/>
  </r>
  <r>
    <x v="1"/>
    <s v="다파릴듀오서방정10/1000MG"/>
    <x v="2"/>
    <x v="2"/>
    <s v="다파릴듀오서방정10/1000mg 반제품"/>
    <x v="2"/>
    <x v="0"/>
    <s v="코팅"/>
    <x v="24"/>
    <n v="200000"/>
    <n v="10"/>
    <x v="2"/>
    <x v="2"/>
  </r>
  <r>
    <x v="1"/>
    <s v="다파릴듀오서방정10/1000MG"/>
    <x v="137"/>
    <x v="2"/>
    <s v="다파릴듀오서방정10/1000mg 반제품"/>
    <x v="141"/>
    <x v="1"/>
    <s v="선별"/>
    <x v="25"/>
    <n v="200000"/>
    <n v="12"/>
    <x v="2"/>
    <x v="141"/>
  </r>
  <r>
    <x v="1"/>
    <s v="다파릴듀오서방정10/1000MG"/>
    <x v="138"/>
    <x v="2"/>
    <s v="다파릴듀오서방정10/1000mg 반제품"/>
    <x v="142"/>
    <x v="1"/>
    <s v="선별"/>
    <x v="25"/>
    <n v="200000"/>
    <n v="12"/>
    <x v="2"/>
    <x v="142"/>
  </r>
  <r>
    <x v="1"/>
    <s v="다파릴듀오서방정10/1000MG"/>
    <x v="2"/>
    <x v="2"/>
    <s v="다파릴듀오서방정10/1000mg 반제품"/>
    <x v="2"/>
    <x v="1"/>
    <s v="선별"/>
    <x v="25"/>
    <n v="200000"/>
    <n v="12"/>
    <x v="2"/>
    <x v="2"/>
  </r>
  <r>
    <x v="1"/>
    <s v="다파릴듀오서방정10/1000MG"/>
    <x v="137"/>
    <x v="2"/>
    <s v="다파릴듀오서방정10/1000mg 반제품"/>
    <x v="141"/>
    <x v="1"/>
    <s v="선별"/>
    <x v="25"/>
    <n v="200000"/>
    <n v="12"/>
    <x v="2"/>
    <x v="141"/>
  </r>
  <r>
    <x v="1"/>
    <s v="다파릴듀오서방정10/1000MG"/>
    <x v="138"/>
    <x v="2"/>
    <s v="다파릴듀오서방정10/1000mg 반제품"/>
    <x v="142"/>
    <x v="1"/>
    <s v="선별"/>
    <x v="25"/>
    <n v="200000"/>
    <n v="12"/>
    <x v="2"/>
    <x v="142"/>
  </r>
  <r>
    <x v="1"/>
    <s v="다파릴듀오서방정10/1000MG"/>
    <x v="2"/>
    <x v="2"/>
    <s v="다파릴듀오서방정10/1000mg 반제품"/>
    <x v="2"/>
    <x v="1"/>
    <s v="선별"/>
    <x v="25"/>
    <n v="200000"/>
    <n v="12"/>
    <x v="2"/>
    <x v="2"/>
  </r>
  <r>
    <x v="1"/>
    <s v="다파릴듀오서방정10/1000MG"/>
    <x v="137"/>
    <x v="2"/>
    <s v="다파릴듀오서방정10/1000mg 반제품"/>
    <x v="141"/>
    <x v="8"/>
    <s v="타정"/>
    <x v="23"/>
    <n v="200000"/>
    <n v="15"/>
    <x v="2"/>
    <x v="141"/>
  </r>
  <r>
    <x v="1"/>
    <s v="다파릴듀오서방정10/1000MG"/>
    <x v="138"/>
    <x v="2"/>
    <s v="다파릴듀오서방정10/1000mg 반제품"/>
    <x v="142"/>
    <x v="8"/>
    <s v="타정"/>
    <x v="23"/>
    <n v="200000"/>
    <n v="15"/>
    <x v="2"/>
    <x v="142"/>
  </r>
  <r>
    <x v="1"/>
    <s v="다파릴듀오서방정10/1000MG"/>
    <x v="2"/>
    <x v="2"/>
    <s v="다파릴듀오서방정10/1000mg 반제품"/>
    <x v="2"/>
    <x v="8"/>
    <s v="타정"/>
    <x v="23"/>
    <n v="200000"/>
    <n v="15"/>
    <x v="2"/>
    <x v="2"/>
  </r>
  <r>
    <x v="1"/>
    <s v="다파릴듀오서방정10/1000MG"/>
    <x v="137"/>
    <x v="2"/>
    <s v="다파릴듀오서방정10/1000mg 반제품"/>
    <x v="141"/>
    <x v="8"/>
    <s v="타정"/>
    <x v="23"/>
    <n v="200000"/>
    <n v="15"/>
    <x v="2"/>
    <x v="141"/>
  </r>
  <r>
    <x v="1"/>
    <s v="다파릴듀오서방정10/1000MG"/>
    <x v="138"/>
    <x v="2"/>
    <s v="다파릴듀오서방정10/1000mg 반제품"/>
    <x v="142"/>
    <x v="8"/>
    <s v="타정"/>
    <x v="23"/>
    <n v="200000"/>
    <n v="15"/>
    <x v="2"/>
    <x v="142"/>
  </r>
  <r>
    <x v="1"/>
    <s v="다파릴듀오서방정10/1000MG"/>
    <x v="2"/>
    <x v="2"/>
    <s v="다파릴듀오서방정10/1000mg 반제품"/>
    <x v="2"/>
    <x v="8"/>
    <s v="타정"/>
    <x v="23"/>
    <n v="200000"/>
    <n v="15"/>
    <x v="2"/>
    <x v="2"/>
  </r>
  <r>
    <x v="1"/>
    <s v="다파릴듀오서방정10/1000MG"/>
    <x v="137"/>
    <x v="2"/>
    <s v="다파릴듀오서방정10/1000mg 반제품"/>
    <x v="141"/>
    <x v="0"/>
    <s v="코팅"/>
    <x v="24"/>
    <n v="200000"/>
    <n v="10"/>
    <x v="2"/>
    <x v="141"/>
  </r>
  <r>
    <x v="1"/>
    <s v="다파릴듀오서방정10/1000MG"/>
    <x v="138"/>
    <x v="2"/>
    <s v="다파릴듀오서방정10/1000mg 반제품"/>
    <x v="142"/>
    <x v="0"/>
    <s v="코팅"/>
    <x v="24"/>
    <n v="200000"/>
    <n v="10"/>
    <x v="2"/>
    <x v="142"/>
  </r>
  <r>
    <x v="1"/>
    <s v="다파릴듀오서방정10/1000MG"/>
    <x v="2"/>
    <x v="2"/>
    <s v="다파릴듀오서방정10/1000mg 반제품"/>
    <x v="2"/>
    <x v="0"/>
    <s v="코팅"/>
    <x v="24"/>
    <n v="200000"/>
    <n v="10"/>
    <x v="2"/>
    <x v="2"/>
  </r>
  <r>
    <x v="1"/>
    <s v="다파릴듀오서방정10/1000MG"/>
    <x v="137"/>
    <x v="2"/>
    <s v="다파릴듀오서방정10/1000mg 반제품"/>
    <x v="141"/>
    <x v="0"/>
    <s v="코팅"/>
    <x v="24"/>
    <n v="200000"/>
    <n v="10"/>
    <x v="2"/>
    <x v="141"/>
  </r>
  <r>
    <x v="1"/>
    <s v="다파릴듀오서방정10/1000MG"/>
    <x v="138"/>
    <x v="2"/>
    <s v="다파릴듀오서방정10/1000mg 반제품"/>
    <x v="142"/>
    <x v="0"/>
    <s v="코팅"/>
    <x v="24"/>
    <n v="200000"/>
    <n v="10"/>
    <x v="2"/>
    <x v="142"/>
  </r>
  <r>
    <x v="1"/>
    <s v="다파릴듀오서방정10/1000MG"/>
    <x v="2"/>
    <x v="2"/>
    <s v="다파릴듀오서방정10/1000mg 반제품"/>
    <x v="2"/>
    <x v="0"/>
    <s v="코팅"/>
    <x v="24"/>
    <n v="200000"/>
    <n v="10"/>
    <x v="2"/>
    <x v="2"/>
  </r>
  <r>
    <x v="1"/>
    <s v="다파릴듀오서방정10/1000MG"/>
    <x v="137"/>
    <x v="2"/>
    <s v="다파릴듀오서방정10/1000mg 반제품"/>
    <x v="141"/>
    <x v="1"/>
    <s v="선별"/>
    <x v="25"/>
    <n v="200000"/>
    <n v="12"/>
    <x v="2"/>
    <x v="141"/>
  </r>
  <r>
    <x v="1"/>
    <s v="다파릴듀오서방정10/1000MG"/>
    <x v="138"/>
    <x v="2"/>
    <s v="다파릴듀오서방정10/1000mg 반제품"/>
    <x v="142"/>
    <x v="1"/>
    <s v="선별"/>
    <x v="25"/>
    <n v="200000"/>
    <n v="12"/>
    <x v="2"/>
    <x v="142"/>
  </r>
  <r>
    <x v="1"/>
    <s v="다파릴듀오서방정10/1000MG"/>
    <x v="2"/>
    <x v="2"/>
    <s v="다파릴듀오서방정10/1000mg 반제품"/>
    <x v="2"/>
    <x v="1"/>
    <s v="선별"/>
    <x v="25"/>
    <n v="200000"/>
    <n v="12"/>
    <x v="2"/>
    <x v="2"/>
  </r>
  <r>
    <x v="1"/>
    <s v="다파릴듀오서방정10/1000MG"/>
    <x v="137"/>
    <x v="2"/>
    <s v="다파릴듀오서방정10/1000mg 반제품"/>
    <x v="141"/>
    <x v="1"/>
    <s v="선별"/>
    <x v="25"/>
    <n v="200000"/>
    <n v="12"/>
    <x v="2"/>
    <x v="141"/>
  </r>
  <r>
    <x v="1"/>
    <s v="다파릴듀오서방정10/1000MG"/>
    <x v="138"/>
    <x v="2"/>
    <s v="다파릴듀오서방정10/1000mg 반제품"/>
    <x v="142"/>
    <x v="1"/>
    <s v="선별"/>
    <x v="25"/>
    <n v="200000"/>
    <n v="12"/>
    <x v="2"/>
    <x v="142"/>
  </r>
  <r>
    <x v="1"/>
    <s v="다파릴듀오서방정10/1000MG"/>
    <x v="2"/>
    <x v="2"/>
    <s v="다파릴듀오서방정10/1000mg 반제품"/>
    <x v="2"/>
    <x v="1"/>
    <s v="선별"/>
    <x v="25"/>
    <n v="200000"/>
    <n v="12"/>
    <x v="2"/>
    <x v="2"/>
  </r>
  <r>
    <x v="1"/>
    <s v="다파릴듀오서방정10/500MG"/>
    <x v="3"/>
    <x v="3"/>
    <s v="폴민다파서방정10/500mg 반제품 (녹십자)"/>
    <x v="3"/>
    <x v="8"/>
    <s v="타정"/>
    <x v="23"/>
    <n v="300000"/>
    <n v="18"/>
    <x v="3"/>
    <x v="3"/>
  </r>
  <r>
    <x v="1"/>
    <s v="다파릴듀오서방정10/500MG"/>
    <x v="4"/>
    <x v="3"/>
    <s v="폴민다파서방정10/500mg 반제품 (녹십자)"/>
    <x v="4"/>
    <x v="8"/>
    <s v="타정"/>
    <x v="23"/>
    <n v="300000"/>
    <n v="18"/>
    <x v="3"/>
    <x v="4"/>
  </r>
  <r>
    <x v="1"/>
    <s v="다파릴듀오서방정10/500MG"/>
    <x v="3"/>
    <x v="3"/>
    <s v="폴민다파서방정10/500mg 반제품 (녹십자)"/>
    <x v="3"/>
    <x v="8"/>
    <s v="타정"/>
    <x v="23"/>
    <n v="300000"/>
    <n v="15"/>
    <x v="3"/>
    <x v="3"/>
  </r>
  <r>
    <x v="1"/>
    <s v="다파릴듀오서방정10/500MG"/>
    <x v="4"/>
    <x v="3"/>
    <s v="폴민다파서방정10/500mg 반제품 (녹십자)"/>
    <x v="4"/>
    <x v="8"/>
    <s v="타정"/>
    <x v="23"/>
    <n v="300000"/>
    <n v="15"/>
    <x v="3"/>
    <x v="4"/>
  </r>
  <r>
    <x v="1"/>
    <s v="다파릴듀오서방정10/500MG"/>
    <x v="3"/>
    <x v="3"/>
    <s v="폴민다파서방정10/500mg 반제품 (녹십자)"/>
    <x v="3"/>
    <x v="0"/>
    <s v="코팅"/>
    <x v="24"/>
    <n v="300000"/>
    <n v="10"/>
    <x v="3"/>
    <x v="3"/>
  </r>
  <r>
    <x v="1"/>
    <s v="다파릴듀오서방정10/500MG"/>
    <x v="4"/>
    <x v="3"/>
    <s v="폴민다파서방정10/500mg 반제품 (녹십자)"/>
    <x v="4"/>
    <x v="0"/>
    <s v="코팅"/>
    <x v="24"/>
    <n v="300000"/>
    <n v="10"/>
    <x v="3"/>
    <x v="4"/>
  </r>
  <r>
    <x v="1"/>
    <s v="다파릴듀오서방정10/500MG"/>
    <x v="3"/>
    <x v="3"/>
    <s v="폴민다파서방정10/500mg 반제품 (녹십자)"/>
    <x v="3"/>
    <x v="0"/>
    <s v="코팅"/>
    <x v="24"/>
    <n v="300000"/>
    <n v="10"/>
    <x v="3"/>
    <x v="3"/>
  </r>
  <r>
    <x v="1"/>
    <s v="다파릴듀오서방정10/500MG"/>
    <x v="4"/>
    <x v="3"/>
    <s v="폴민다파서방정10/500mg 반제품 (녹십자)"/>
    <x v="4"/>
    <x v="0"/>
    <s v="코팅"/>
    <x v="24"/>
    <n v="300000"/>
    <n v="10"/>
    <x v="3"/>
    <x v="4"/>
  </r>
  <r>
    <x v="1"/>
    <s v="다파릴듀오서방정10/500MG"/>
    <x v="3"/>
    <x v="3"/>
    <s v="폴민다파서방정10/500mg 반제품 (녹십자)"/>
    <x v="3"/>
    <x v="1"/>
    <s v="선별"/>
    <x v="25"/>
    <n v="300000"/>
    <n v="15"/>
    <x v="3"/>
    <x v="3"/>
  </r>
  <r>
    <x v="1"/>
    <s v="다파릴듀오서방정10/500MG"/>
    <x v="4"/>
    <x v="3"/>
    <s v="폴민다파서방정10/500mg 반제품 (녹십자)"/>
    <x v="4"/>
    <x v="1"/>
    <s v="선별"/>
    <x v="25"/>
    <n v="300000"/>
    <n v="15"/>
    <x v="3"/>
    <x v="4"/>
  </r>
  <r>
    <x v="1"/>
    <s v="다파릴듀오서방정10/500MG"/>
    <x v="3"/>
    <x v="3"/>
    <s v="폴민다파서방정10/500mg 반제품 (녹십자)"/>
    <x v="3"/>
    <x v="1"/>
    <s v="선별"/>
    <x v="25"/>
    <n v="300000"/>
    <n v="11"/>
    <x v="3"/>
    <x v="3"/>
  </r>
  <r>
    <x v="1"/>
    <s v="다파릴듀오서방정10/500MG"/>
    <x v="4"/>
    <x v="3"/>
    <s v="폴민다파서방정10/500mg 반제품 (녹십자)"/>
    <x v="4"/>
    <x v="1"/>
    <s v="선별"/>
    <x v="25"/>
    <n v="300000"/>
    <n v="11"/>
    <x v="3"/>
    <x v="4"/>
  </r>
  <r>
    <x v="1"/>
    <s v="다파릴듀오서방정10/500MG"/>
    <x v="3"/>
    <x v="3"/>
    <s v="폴민다파서방정10/500mg 반제품 (녹십자)"/>
    <x v="3"/>
    <x v="8"/>
    <s v="타정"/>
    <x v="23"/>
    <n v="300000"/>
    <n v="18"/>
    <x v="3"/>
    <x v="3"/>
  </r>
  <r>
    <x v="1"/>
    <s v="다파릴듀오서방정10/500MG"/>
    <x v="4"/>
    <x v="3"/>
    <s v="폴민다파서방정10/500mg 반제품 (녹십자)"/>
    <x v="4"/>
    <x v="8"/>
    <s v="타정"/>
    <x v="23"/>
    <n v="300000"/>
    <n v="18"/>
    <x v="3"/>
    <x v="4"/>
  </r>
  <r>
    <x v="1"/>
    <s v="다파릴듀오서방정10/500MG"/>
    <x v="3"/>
    <x v="3"/>
    <s v="폴민다파서방정10/500mg 반제품 (녹십자)"/>
    <x v="3"/>
    <x v="8"/>
    <s v="타정"/>
    <x v="23"/>
    <n v="300000"/>
    <n v="15"/>
    <x v="3"/>
    <x v="3"/>
  </r>
  <r>
    <x v="1"/>
    <s v="다파릴듀오서방정10/500MG"/>
    <x v="4"/>
    <x v="3"/>
    <s v="폴민다파서방정10/500mg 반제품 (녹십자)"/>
    <x v="4"/>
    <x v="8"/>
    <s v="타정"/>
    <x v="23"/>
    <n v="300000"/>
    <n v="15"/>
    <x v="3"/>
    <x v="4"/>
  </r>
  <r>
    <x v="1"/>
    <s v="다파릴듀오서방정10/500MG"/>
    <x v="3"/>
    <x v="3"/>
    <s v="폴민다파서방정10/500mg 반제품 (녹십자)"/>
    <x v="3"/>
    <x v="0"/>
    <s v="코팅"/>
    <x v="24"/>
    <n v="300000"/>
    <n v="11"/>
    <x v="3"/>
    <x v="3"/>
  </r>
  <r>
    <x v="1"/>
    <s v="다파릴듀오서방정10/500MG"/>
    <x v="4"/>
    <x v="3"/>
    <s v="폴민다파서방정10/500mg 반제품 (녹십자)"/>
    <x v="4"/>
    <x v="0"/>
    <s v="코팅"/>
    <x v="24"/>
    <n v="300000"/>
    <n v="11"/>
    <x v="3"/>
    <x v="4"/>
  </r>
  <r>
    <x v="1"/>
    <s v="다파릴듀오서방정10/500MG"/>
    <x v="3"/>
    <x v="3"/>
    <s v="폴민다파서방정10/500mg 반제품 (녹십자)"/>
    <x v="3"/>
    <x v="0"/>
    <s v="코팅"/>
    <x v="24"/>
    <n v="300000"/>
    <n v="11"/>
    <x v="3"/>
    <x v="3"/>
  </r>
  <r>
    <x v="1"/>
    <s v="다파릴듀오서방정10/500MG"/>
    <x v="4"/>
    <x v="3"/>
    <s v="폴민다파서방정10/500mg 반제품 (녹십자)"/>
    <x v="4"/>
    <x v="0"/>
    <s v="코팅"/>
    <x v="24"/>
    <n v="300000"/>
    <n v="11"/>
    <x v="3"/>
    <x v="4"/>
  </r>
  <r>
    <x v="1"/>
    <s v="다파릴듀오서방정10/500MG"/>
    <x v="3"/>
    <x v="3"/>
    <s v="폴민다파서방정10/500mg 반제품 (녹십자)"/>
    <x v="3"/>
    <x v="1"/>
    <s v="선별"/>
    <x v="25"/>
    <n v="300000"/>
    <n v="15"/>
    <x v="3"/>
    <x v="3"/>
  </r>
  <r>
    <x v="1"/>
    <s v="다파릴듀오서방정10/500MG"/>
    <x v="4"/>
    <x v="3"/>
    <s v="폴민다파서방정10/500mg 반제품 (녹십자)"/>
    <x v="4"/>
    <x v="1"/>
    <s v="선별"/>
    <x v="25"/>
    <n v="300000"/>
    <n v="15"/>
    <x v="3"/>
    <x v="4"/>
  </r>
  <r>
    <x v="1"/>
    <s v="다파릴듀오서방정10/500MG"/>
    <x v="3"/>
    <x v="3"/>
    <s v="폴민다파서방정10/500mg 반제품 (녹십자)"/>
    <x v="3"/>
    <x v="1"/>
    <s v="선별"/>
    <x v="25"/>
    <n v="300000"/>
    <n v="11"/>
    <x v="3"/>
    <x v="3"/>
  </r>
  <r>
    <x v="1"/>
    <s v="다파릴듀오서방정10/500MG"/>
    <x v="4"/>
    <x v="3"/>
    <s v="폴민다파서방정10/500mg 반제품 (녹십자)"/>
    <x v="4"/>
    <x v="1"/>
    <s v="선별"/>
    <x v="25"/>
    <n v="300000"/>
    <n v="11"/>
    <x v="3"/>
    <x v="4"/>
  </r>
  <r>
    <x v="1"/>
    <s v="도베셀정 500MG"/>
    <x v="139"/>
    <x v="55"/>
    <s v="도베셀정 500MG 반제품"/>
    <x v="143"/>
    <x v="2"/>
    <s v="과립"/>
    <x v="26"/>
    <n v="600000"/>
    <n v="12"/>
    <x v="4"/>
    <x v="143"/>
  </r>
  <r>
    <x v="1"/>
    <s v="도베셀정 500MG"/>
    <x v="140"/>
    <x v="55"/>
    <s v="도베셀정 500MG 반제품"/>
    <x v="144"/>
    <x v="2"/>
    <s v="과립"/>
    <x v="26"/>
    <n v="600000"/>
    <n v="12"/>
    <x v="4"/>
    <x v="144"/>
  </r>
  <r>
    <x v="1"/>
    <s v="도베셀정 500MG"/>
    <x v="141"/>
    <x v="55"/>
    <s v="도베셀정 500MG 반제품"/>
    <x v="145"/>
    <x v="2"/>
    <s v="과립"/>
    <x v="26"/>
    <n v="600000"/>
    <n v="12"/>
    <x v="4"/>
    <x v="145"/>
  </r>
  <r>
    <x v="1"/>
    <s v="도베셀정 500MG"/>
    <x v="142"/>
    <x v="55"/>
    <s v="도베셀정 500MG 반제품"/>
    <x v="146"/>
    <x v="2"/>
    <s v="과립"/>
    <x v="26"/>
    <n v="600000"/>
    <n v="12"/>
    <x v="4"/>
    <x v="146"/>
  </r>
  <r>
    <x v="1"/>
    <s v="도베셀정 500MG"/>
    <x v="139"/>
    <x v="55"/>
    <s v="도베셀정 500MG 반제품"/>
    <x v="143"/>
    <x v="2"/>
    <s v="과립"/>
    <x v="26"/>
    <n v="600000"/>
    <n v="12"/>
    <x v="4"/>
    <x v="143"/>
  </r>
  <r>
    <x v="1"/>
    <s v="도베셀정 500MG"/>
    <x v="140"/>
    <x v="55"/>
    <s v="도베셀정 500MG 반제품"/>
    <x v="144"/>
    <x v="2"/>
    <s v="과립"/>
    <x v="26"/>
    <n v="600000"/>
    <n v="12"/>
    <x v="4"/>
    <x v="144"/>
  </r>
  <r>
    <x v="1"/>
    <s v="도베셀정 500MG"/>
    <x v="141"/>
    <x v="55"/>
    <s v="도베셀정 500MG 반제품"/>
    <x v="145"/>
    <x v="2"/>
    <s v="과립"/>
    <x v="26"/>
    <n v="600000"/>
    <n v="12"/>
    <x v="4"/>
    <x v="145"/>
  </r>
  <r>
    <x v="1"/>
    <s v="도베셀정 500MG"/>
    <x v="142"/>
    <x v="55"/>
    <s v="도베셀정 500MG 반제품"/>
    <x v="146"/>
    <x v="2"/>
    <s v="과립"/>
    <x v="26"/>
    <n v="600000"/>
    <n v="12"/>
    <x v="4"/>
    <x v="146"/>
  </r>
  <r>
    <x v="1"/>
    <s v="도베셀정 500MG"/>
    <x v="139"/>
    <x v="55"/>
    <s v="도베셀정 500MG 반제품"/>
    <x v="143"/>
    <x v="3"/>
    <s v="혼합"/>
    <x v="27"/>
    <n v="600000"/>
    <n v="4"/>
    <x v="4"/>
    <x v="143"/>
  </r>
  <r>
    <x v="1"/>
    <s v="도베셀정 500MG"/>
    <x v="140"/>
    <x v="55"/>
    <s v="도베셀정 500MG 반제품"/>
    <x v="144"/>
    <x v="3"/>
    <s v="혼합"/>
    <x v="27"/>
    <n v="600000"/>
    <n v="4"/>
    <x v="4"/>
    <x v="144"/>
  </r>
  <r>
    <x v="1"/>
    <s v="도베셀정 500MG"/>
    <x v="141"/>
    <x v="55"/>
    <s v="도베셀정 500MG 반제품"/>
    <x v="145"/>
    <x v="3"/>
    <s v="혼합"/>
    <x v="27"/>
    <n v="600000"/>
    <n v="4"/>
    <x v="4"/>
    <x v="145"/>
  </r>
  <r>
    <x v="1"/>
    <s v="도베셀정 500MG"/>
    <x v="142"/>
    <x v="55"/>
    <s v="도베셀정 500MG 반제품"/>
    <x v="146"/>
    <x v="3"/>
    <s v="혼합"/>
    <x v="27"/>
    <n v="600000"/>
    <n v="4"/>
    <x v="4"/>
    <x v="146"/>
  </r>
  <r>
    <x v="1"/>
    <s v="도베셀정 500MG"/>
    <x v="139"/>
    <x v="55"/>
    <s v="도베셀정 500MG 반제품"/>
    <x v="143"/>
    <x v="3"/>
    <s v="혼합"/>
    <x v="27"/>
    <n v="600000"/>
    <n v="4"/>
    <x v="4"/>
    <x v="143"/>
  </r>
  <r>
    <x v="1"/>
    <s v="도베셀정 500MG"/>
    <x v="140"/>
    <x v="55"/>
    <s v="도베셀정 500MG 반제품"/>
    <x v="144"/>
    <x v="3"/>
    <s v="혼합"/>
    <x v="27"/>
    <n v="600000"/>
    <n v="4"/>
    <x v="4"/>
    <x v="144"/>
  </r>
  <r>
    <x v="1"/>
    <s v="도베셀정 500MG"/>
    <x v="141"/>
    <x v="55"/>
    <s v="도베셀정 500MG 반제품"/>
    <x v="145"/>
    <x v="3"/>
    <s v="혼합"/>
    <x v="27"/>
    <n v="600000"/>
    <n v="4"/>
    <x v="4"/>
    <x v="145"/>
  </r>
  <r>
    <x v="1"/>
    <s v="도베셀정 500MG"/>
    <x v="142"/>
    <x v="55"/>
    <s v="도베셀정 500MG 반제품"/>
    <x v="146"/>
    <x v="3"/>
    <s v="혼합"/>
    <x v="27"/>
    <n v="600000"/>
    <n v="4"/>
    <x v="4"/>
    <x v="146"/>
  </r>
  <r>
    <x v="1"/>
    <s v="도베셀정 500MG"/>
    <x v="143"/>
    <x v="55"/>
    <s v="도베셀정 500MG 반제품"/>
    <x v="147"/>
    <x v="8"/>
    <s v="타정"/>
    <x v="28"/>
    <n v="600000"/>
    <n v="17"/>
    <x v="4"/>
    <x v="147"/>
  </r>
  <r>
    <x v="1"/>
    <s v="도베셀정 500MG"/>
    <x v="139"/>
    <x v="55"/>
    <s v="도베셀정 500MG 반제품"/>
    <x v="143"/>
    <x v="8"/>
    <s v="타정"/>
    <x v="28"/>
    <n v="600000"/>
    <n v="17"/>
    <x v="4"/>
    <x v="143"/>
  </r>
  <r>
    <x v="1"/>
    <s v="도베셀정 500MG"/>
    <x v="140"/>
    <x v="55"/>
    <s v="도베셀정 500MG 반제품"/>
    <x v="144"/>
    <x v="8"/>
    <s v="타정"/>
    <x v="28"/>
    <n v="600000"/>
    <n v="17"/>
    <x v="4"/>
    <x v="144"/>
  </r>
  <r>
    <x v="1"/>
    <s v="도베셀정 500MG"/>
    <x v="141"/>
    <x v="55"/>
    <s v="도베셀정 500MG 반제품"/>
    <x v="145"/>
    <x v="8"/>
    <s v="타정"/>
    <x v="28"/>
    <n v="600000"/>
    <n v="17"/>
    <x v="4"/>
    <x v="145"/>
  </r>
  <r>
    <x v="1"/>
    <s v="도베셀정 500MG"/>
    <x v="142"/>
    <x v="55"/>
    <s v="도베셀정 500MG 반제품"/>
    <x v="146"/>
    <x v="8"/>
    <s v="타정"/>
    <x v="28"/>
    <n v="600000"/>
    <n v="17"/>
    <x v="4"/>
    <x v="146"/>
  </r>
  <r>
    <x v="1"/>
    <s v="도베셀정 500MG"/>
    <x v="143"/>
    <x v="55"/>
    <s v="도베셀정 500MG 반제품"/>
    <x v="147"/>
    <x v="8"/>
    <s v="타정"/>
    <x v="28"/>
    <n v="600000"/>
    <n v="12"/>
    <x v="4"/>
    <x v="147"/>
  </r>
  <r>
    <x v="1"/>
    <s v="도베셀정 500MG"/>
    <x v="139"/>
    <x v="55"/>
    <s v="도베셀정 500MG 반제품"/>
    <x v="143"/>
    <x v="8"/>
    <s v="타정"/>
    <x v="28"/>
    <n v="600000"/>
    <n v="12"/>
    <x v="4"/>
    <x v="143"/>
  </r>
  <r>
    <x v="1"/>
    <s v="도베셀정 500MG"/>
    <x v="140"/>
    <x v="55"/>
    <s v="도베셀정 500MG 반제품"/>
    <x v="144"/>
    <x v="8"/>
    <s v="타정"/>
    <x v="28"/>
    <n v="600000"/>
    <n v="12"/>
    <x v="4"/>
    <x v="144"/>
  </r>
  <r>
    <x v="1"/>
    <s v="도베셀정 500MG"/>
    <x v="141"/>
    <x v="55"/>
    <s v="도베셀정 500MG 반제품"/>
    <x v="145"/>
    <x v="8"/>
    <s v="타정"/>
    <x v="28"/>
    <n v="600000"/>
    <n v="12"/>
    <x v="4"/>
    <x v="145"/>
  </r>
  <r>
    <x v="1"/>
    <s v="도베셀정 500MG"/>
    <x v="142"/>
    <x v="55"/>
    <s v="도베셀정 500MG 반제품"/>
    <x v="146"/>
    <x v="8"/>
    <s v="타정"/>
    <x v="28"/>
    <n v="600000"/>
    <n v="12"/>
    <x v="4"/>
    <x v="146"/>
  </r>
  <r>
    <x v="1"/>
    <s v="도베셀정 500MG"/>
    <x v="144"/>
    <x v="55"/>
    <s v="도베셀정 500MG 반제품"/>
    <x v="148"/>
    <x v="1"/>
    <s v="선별"/>
    <x v="25"/>
    <n v="600000"/>
    <n v="15"/>
    <x v="4"/>
    <x v="148"/>
  </r>
  <r>
    <x v="1"/>
    <s v="도베셀정 500MG"/>
    <x v="145"/>
    <x v="55"/>
    <s v="도베셀정 500MG 반제품"/>
    <x v="149"/>
    <x v="1"/>
    <s v="선별"/>
    <x v="25"/>
    <n v="600000"/>
    <n v="15"/>
    <x v="4"/>
    <x v="149"/>
  </r>
  <r>
    <x v="1"/>
    <s v="도베셀정 500MG"/>
    <x v="143"/>
    <x v="55"/>
    <s v="도베셀정 500MG 반제품"/>
    <x v="147"/>
    <x v="1"/>
    <s v="선별"/>
    <x v="25"/>
    <n v="600000"/>
    <n v="15"/>
    <x v="4"/>
    <x v="147"/>
  </r>
  <r>
    <x v="1"/>
    <s v="도베셀정 500MG"/>
    <x v="139"/>
    <x v="55"/>
    <s v="도베셀정 500MG 반제품"/>
    <x v="143"/>
    <x v="1"/>
    <s v="선별"/>
    <x v="25"/>
    <n v="600000"/>
    <n v="15"/>
    <x v="4"/>
    <x v="143"/>
  </r>
  <r>
    <x v="1"/>
    <s v="도베셀정 500MG"/>
    <x v="140"/>
    <x v="55"/>
    <s v="도베셀정 500MG 반제품"/>
    <x v="144"/>
    <x v="1"/>
    <s v="선별"/>
    <x v="25"/>
    <n v="600000"/>
    <n v="15"/>
    <x v="4"/>
    <x v="144"/>
  </r>
  <r>
    <x v="1"/>
    <s v="도베셀정 500MG"/>
    <x v="141"/>
    <x v="55"/>
    <s v="도베셀정 500MG 반제품"/>
    <x v="145"/>
    <x v="1"/>
    <s v="선별"/>
    <x v="25"/>
    <n v="600000"/>
    <n v="15"/>
    <x v="4"/>
    <x v="145"/>
  </r>
  <r>
    <x v="1"/>
    <s v="도베셀정 500MG"/>
    <x v="142"/>
    <x v="55"/>
    <s v="도베셀정 500MG 반제품"/>
    <x v="146"/>
    <x v="1"/>
    <s v="선별"/>
    <x v="25"/>
    <n v="600000"/>
    <n v="15"/>
    <x v="4"/>
    <x v="146"/>
  </r>
  <r>
    <x v="1"/>
    <s v="도베셀정 500MG"/>
    <x v="144"/>
    <x v="55"/>
    <s v="도베셀정 500MG 반제품"/>
    <x v="148"/>
    <x v="1"/>
    <s v="선별"/>
    <x v="25"/>
    <n v="600000"/>
    <n v="17"/>
    <x v="4"/>
    <x v="148"/>
  </r>
  <r>
    <x v="1"/>
    <s v="도베셀정 500MG"/>
    <x v="145"/>
    <x v="55"/>
    <s v="도베셀정 500MG 반제품"/>
    <x v="149"/>
    <x v="1"/>
    <s v="선별"/>
    <x v="25"/>
    <n v="600000"/>
    <n v="17"/>
    <x v="4"/>
    <x v="149"/>
  </r>
  <r>
    <x v="1"/>
    <s v="도베셀정 500MG"/>
    <x v="143"/>
    <x v="55"/>
    <s v="도베셀정 500MG 반제품"/>
    <x v="147"/>
    <x v="1"/>
    <s v="선별"/>
    <x v="25"/>
    <n v="600000"/>
    <n v="17"/>
    <x v="4"/>
    <x v="147"/>
  </r>
  <r>
    <x v="1"/>
    <s v="도베셀정 500MG"/>
    <x v="139"/>
    <x v="55"/>
    <s v="도베셀정 500MG 반제품"/>
    <x v="143"/>
    <x v="1"/>
    <s v="선별"/>
    <x v="25"/>
    <n v="600000"/>
    <n v="17"/>
    <x v="4"/>
    <x v="143"/>
  </r>
  <r>
    <x v="1"/>
    <s v="도베셀정 500MG"/>
    <x v="140"/>
    <x v="55"/>
    <s v="도베셀정 500MG 반제품"/>
    <x v="144"/>
    <x v="1"/>
    <s v="선별"/>
    <x v="25"/>
    <n v="600000"/>
    <n v="17"/>
    <x v="4"/>
    <x v="144"/>
  </r>
  <r>
    <x v="1"/>
    <s v="도베셀정 500MG"/>
    <x v="141"/>
    <x v="55"/>
    <s v="도베셀정 500MG 반제품"/>
    <x v="145"/>
    <x v="1"/>
    <s v="선별"/>
    <x v="25"/>
    <n v="600000"/>
    <n v="17"/>
    <x v="4"/>
    <x v="145"/>
  </r>
  <r>
    <x v="1"/>
    <s v="도베셀정 500MG"/>
    <x v="142"/>
    <x v="55"/>
    <s v="도베셀정 500MG 반제품"/>
    <x v="146"/>
    <x v="1"/>
    <s v="선별"/>
    <x v="25"/>
    <n v="600000"/>
    <n v="17"/>
    <x v="4"/>
    <x v="146"/>
  </r>
  <r>
    <x v="1"/>
    <s v="다파릴듀오서방정10/500MG"/>
    <x v="5"/>
    <x v="4"/>
    <s v="다파릴듀오서방정10/500mg 반제품"/>
    <x v="5"/>
    <x v="8"/>
    <s v="타정"/>
    <x v="23"/>
    <n v="300000"/>
    <n v="15"/>
    <x v="4"/>
    <x v="5"/>
  </r>
  <r>
    <x v="1"/>
    <s v="다파릴듀오서방정10/500MG"/>
    <x v="5"/>
    <x v="4"/>
    <s v="다파릴듀오서방정10/500mg 반제품"/>
    <x v="5"/>
    <x v="8"/>
    <s v="타정"/>
    <x v="23"/>
    <n v="300000"/>
    <n v="18"/>
    <x v="4"/>
    <x v="5"/>
  </r>
  <r>
    <x v="1"/>
    <s v="다파릴듀오서방정10/500MG"/>
    <x v="5"/>
    <x v="4"/>
    <s v="다파릴듀오서방정10/500mg 반제품"/>
    <x v="5"/>
    <x v="0"/>
    <s v="코팅"/>
    <x v="24"/>
    <n v="300000"/>
    <n v="11"/>
    <x v="4"/>
    <x v="5"/>
  </r>
  <r>
    <x v="1"/>
    <s v="다파릴듀오서방정10/500MG"/>
    <x v="5"/>
    <x v="4"/>
    <s v="다파릴듀오서방정10/500mg 반제품"/>
    <x v="5"/>
    <x v="0"/>
    <s v="코팅"/>
    <x v="24"/>
    <n v="300000"/>
    <n v="11"/>
    <x v="4"/>
    <x v="5"/>
  </r>
  <r>
    <x v="1"/>
    <s v="다파릴듀오서방정10/500MG"/>
    <x v="5"/>
    <x v="4"/>
    <s v="다파릴듀오서방정10/500mg 반제품"/>
    <x v="5"/>
    <x v="1"/>
    <s v="선별"/>
    <x v="25"/>
    <n v="300000"/>
    <n v="11"/>
    <x v="4"/>
    <x v="5"/>
  </r>
  <r>
    <x v="1"/>
    <s v="다파릴듀오서방정10/500MG"/>
    <x v="5"/>
    <x v="4"/>
    <s v="다파릴듀오서방정10/500mg 반제품"/>
    <x v="5"/>
    <x v="1"/>
    <s v="선별"/>
    <x v="25"/>
    <n v="300000"/>
    <n v="15"/>
    <x v="4"/>
    <x v="5"/>
  </r>
  <r>
    <x v="1"/>
    <s v="다파릴듀오서방정10/500MG"/>
    <x v="5"/>
    <x v="4"/>
    <s v="다파릴듀오서방정10/500mg 반제품"/>
    <x v="5"/>
    <x v="8"/>
    <s v="타정"/>
    <x v="23"/>
    <n v="300000"/>
    <n v="15"/>
    <x v="4"/>
    <x v="5"/>
  </r>
  <r>
    <x v="1"/>
    <s v="다파릴듀오서방정10/500MG"/>
    <x v="5"/>
    <x v="4"/>
    <s v="다파릴듀오서방정10/500mg 반제품"/>
    <x v="5"/>
    <x v="8"/>
    <s v="타정"/>
    <x v="23"/>
    <n v="300000"/>
    <n v="18"/>
    <x v="4"/>
    <x v="5"/>
  </r>
  <r>
    <x v="1"/>
    <s v="다파릴듀오서방정10/500MG"/>
    <x v="5"/>
    <x v="4"/>
    <s v="다파릴듀오서방정10/500mg 반제품"/>
    <x v="5"/>
    <x v="0"/>
    <s v="코팅"/>
    <x v="24"/>
    <n v="300000"/>
    <n v="10"/>
    <x v="4"/>
    <x v="5"/>
  </r>
  <r>
    <x v="1"/>
    <s v="다파릴듀오서방정10/500MG"/>
    <x v="5"/>
    <x v="4"/>
    <s v="다파릴듀오서방정10/500mg 반제품"/>
    <x v="5"/>
    <x v="0"/>
    <s v="코팅"/>
    <x v="24"/>
    <n v="300000"/>
    <n v="10"/>
    <x v="4"/>
    <x v="5"/>
  </r>
  <r>
    <x v="1"/>
    <s v="다파릴듀오서방정10/500MG"/>
    <x v="5"/>
    <x v="4"/>
    <s v="다파릴듀오서방정10/500mg 반제품"/>
    <x v="5"/>
    <x v="1"/>
    <s v="선별"/>
    <x v="25"/>
    <n v="300000"/>
    <n v="11"/>
    <x v="4"/>
    <x v="5"/>
  </r>
  <r>
    <x v="1"/>
    <s v="다파릴듀오서방정10/500MG"/>
    <x v="5"/>
    <x v="4"/>
    <s v="다파릴듀오서방정10/500mg 반제품"/>
    <x v="5"/>
    <x v="1"/>
    <s v="선별"/>
    <x v="25"/>
    <n v="300000"/>
    <n v="15"/>
    <x v="4"/>
    <x v="5"/>
  </r>
  <r>
    <x v="2"/>
    <s v="안탁스캡슐 180MG"/>
    <x v="146"/>
    <x v="56"/>
    <s v="안탁스캡슐180MG 30C (병)"/>
    <x v="150"/>
    <x v="13"/>
    <s v="병충전"/>
    <x v="29"/>
    <n v="33333"/>
    <n v="21"/>
    <x v="0"/>
    <x v="150"/>
  </r>
  <r>
    <x v="2"/>
    <s v="안탁스캡슐 180MG"/>
    <x v="147"/>
    <x v="56"/>
    <s v="안탁스캡슐180MG 30C (병)"/>
    <x v="151"/>
    <x v="13"/>
    <s v="병충전"/>
    <x v="29"/>
    <n v="33333"/>
    <n v="21"/>
    <x v="0"/>
    <x v="151"/>
  </r>
  <r>
    <x v="2"/>
    <s v="안탁스캡슐 180MG"/>
    <x v="146"/>
    <x v="56"/>
    <s v="안탁스캡슐180MG 30C (병)"/>
    <x v="150"/>
    <x v="13"/>
    <s v="병충전"/>
    <x v="29"/>
    <n v="33333"/>
    <n v="21"/>
    <x v="0"/>
    <x v="150"/>
  </r>
  <r>
    <x v="2"/>
    <s v="안탁스캡슐 180MG"/>
    <x v="147"/>
    <x v="56"/>
    <s v="안탁스캡슐180MG 30C (병)"/>
    <x v="151"/>
    <x v="13"/>
    <s v="병충전"/>
    <x v="29"/>
    <n v="33333"/>
    <n v="21"/>
    <x v="0"/>
    <x v="151"/>
  </r>
  <r>
    <x v="2"/>
    <s v="안탁스캡슐 180MG"/>
    <x v="146"/>
    <x v="56"/>
    <s v="안탁스캡슐180MG 30C (병)"/>
    <x v="150"/>
    <x v="9"/>
    <s v="병포장"/>
    <x v="30"/>
    <n v="33333"/>
    <n v="21"/>
    <x v="0"/>
    <x v="150"/>
  </r>
  <r>
    <x v="2"/>
    <s v="안탁스캡슐 180MG"/>
    <x v="147"/>
    <x v="56"/>
    <s v="안탁스캡슐180MG 30C (병)"/>
    <x v="151"/>
    <x v="9"/>
    <s v="병포장"/>
    <x v="30"/>
    <n v="33333"/>
    <n v="21"/>
    <x v="0"/>
    <x v="151"/>
  </r>
  <r>
    <x v="2"/>
    <s v="안탁스캡슐 180MG"/>
    <x v="146"/>
    <x v="56"/>
    <s v="안탁스캡슐180MG 30C (병)"/>
    <x v="150"/>
    <x v="9"/>
    <s v="병포장"/>
    <x v="30"/>
    <n v="33333"/>
    <n v="21"/>
    <x v="0"/>
    <x v="150"/>
  </r>
  <r>
    <x v="2"/>
    <s v="안탁스캡슐 180MG"/>
    <x v="147"/>
    <x v="56"/>
    <s v="안탁스캡슐180MG 30C (병)"/>
    <x v="151"/>
    <x v="9"/>
    <s v="병포장"/>
    <x v="30"/>
    <n v="33333"/>
    <n v="21"/>
    <x v="0"/>
    <x v="151"/>
  </r>
  <r>
    <x v="2"/>
    <s v="엑손SR정 75MG"/>
    <x v="148"/>
    <x v="57"/>
    <s v="엑소닌CR서방정75MG 500T (병)(SK)"/>
    <x v="152"/>
    <x v="13"/>
    <s v="병충전"/>
    <x v="29"/>
    <n v="1600"/>
    <n v="6"/>
    <x v="1"/>
    <x v="152"/>
  </r>
  <r>
    <x v="2"/>
    <s v="엑손SR정 75MG"/>
    <x v="149"/>
    <x v="57"/>
    <s v="엑소닌CR서방정75MG 500T (병)(SK)"/>
    <x v="153"/>
    <x v="13"/>
    <s v="병충전"/>
    <x v="29"/>
    <n v="1600"/>
    <n v="6"/>
    <x v="1"/>
    <x v="153"/>
  </r>
  <r>
    <x v="2"/>
    <s v="엑손SR정 75MG"/>
    <x v="150"/>
    <x v="57"/>
    <s v="엑소닌CR서방정75MG 500T (병)(SK)"/>
    <x v="154"/>
    <x v="13"/>
    <s v="병충전"/>
    <x v="29"/>
    <n v="1600"/>
    <n v="6"/>
    <x v="1"/>
    <x v="154"/>
  </r>
  <r>
    <x v="2"/>
    <s v="엑손SR정 75MG"/>
    <x v="148"/>
    <x v="57"/>
    <s v="엑소닌CR서방정75MG 500T (병)(SK)"/>
    <x v="152"/>
    <x v="9"/>
    <s v="병포장"/>
    <x v="30"/>
    <n v="1600"/>
    <n v="6"/>
    <x v="1"/>
    <x v="152"/>
  </r>
  <r>
    <x v="2"/>
    <s v="엑손SR정 75MG"/>
    <x v="149"/>
    <x v="57"/>
    <s v="엑소닌CR서방정75MG 500T (병)(SK)"/>
    <x v="153"/>
    <x v="9"/>
    <s v="병포장"/>
    <x v="30"/>
    <n v="1600"/>
    <n v="6"/>
    <x v="1"/>
    <x v="153"/>
  </r>
  <r>
    <x v="2"/>
    <s v="엑손SR정 75MG"/>
    <x v="150"/>
    <x v="57"/>
    <s v="엑소닌CR서방정75MG 500T (병)(SK)"/>
    <x v="154"/>
    <x v="9"/>
    <s v="병포장"/>
    <x v="30"/>
    <n v="1600"/>
    <n v="6"/>
    <x v="1"/>
    <x v="154"/>
  </r>
  <r>
    <x v="2"/>
    <s v="엑손SR정 75MG"/>
    <x v="151"/>
    <x v="58"/>
    <s v="엑소닌CR서방정75MG 30T (병)(SK)"/>
    <x v="155"/>
    <x v="13"/>
    <s v="병충전"/>
    <x v="29"/>
    <n v="26666"/>
    <n v="16"/>
    <x v="2"/>
    <x v="155"/>
  </r>
  <r>
    <x v="2"/>
    <s v="엑손SR정 75MG"/>
    <x v="151"/>
    <x v="58"/>
    <s v="엑소닌CR서방정75MG 30T (병)(SK)"/>
    <x v="155"/>
    <x v="9"/>
    <s v="병포장"/>
    <x v="30"/>
    <n v="26666"/>
    <n v="16"/>
    <x v="2"/>
    <x v="155"/>
  </r>
  <r>
    <x v="2"/>
    <s v="엑손SR정 75MG"/>
    <x v="152"/>
    <x v="59"/>
    <s v="에페라SR정75MG 500T (병)(하나제약)"/>
    <x v="156"/>
    <x v="13"/>
    <s v="병충전"/>
    <x v="31"/>
    <n v="1600"/>
    <n v="6"/>
    <x v="3"/>
    <x v="156"/>
  </r>
  <r>
    <x v="2"/>
    <s v="엑손SR정 75MG"/>
    <x v="152"/>
    <x v="59"/>
    <s v="에페라SR정75MG 500T (병)(하나제약)"/>
    <x v="156"/>
    <x v="9"/>
    <s v="병포장"/>
    <x v="32"/>
    <n v="1600"/>
    <n v="6"/>
    <x v="3"/>
    <x v="156"/>
  </r>
  <r>
    <x v="2"/>
    <s v="엑손SR정 75MG"/>
    <x v="153"/>
    <x v="60"/>
    <s v="에페신SR정75MG 500T (병)(명문제약)"/>
    <x v="157"/>
    <x v="13"/>
    <s v="병충전"/>
    <x v="31"/>
    <n v="1600"/>
    <n v="6"/>
    <x v="4"/>
    <x v="157"/>
  </r>
  <r>
    <x v="2"/>
    <s v="엑손SR정 75MG"/>
    <x v="154"/>
    <x v="60"/>
    <s v="에페신SR정75MG 500T (병)(명문제약)"/>
    <x v="158"/>
    <x v="13"/>
    <s v="병충전"/>
    <x v="31"/>
    <n v="1600"/>
    <n v="6"/>
    <x v="4"/>
    <x v="158"/>
  </r>
  <r>
    <x v="2"/>
    <s v="엑손SR정 75MG"/>
    <x v="155"/>
    <x v="60"/>
    <s v="에페신SR정75MG 500T (병)(명문제약)"/>
    <x v="159"/>
    <x v="13"/>
    <s v="병충전"/>
    <x v="31"/>
    <n v="1600"/>
    <n v="6"/>
    <x v="4"/>
    <x v="159"/>
  </r>
  <r>
    <x v="2"/>
    <s v="엑손SR정 75MG"/>
    <x v="156"/>
    <x v="60"/>
    <s v="에페신SR정75MG 500T (병)(명문제약)"/>
    <x v="160"/>
    <x v="13"/>
    <s v="병충전"/>
    <x v="31"/>
    <n v="1600"/>
    <n v="6"/>
    <x v="4"/>
    <x v="160"/>
  </r>
  <r>
    <x v="2"/>
    <s v="엑손SR정 75MG"/>
    <x v="157"/>
    <x v="60"/>
    <s v="에페신SR정75MG 500T (병)(명문제약)"/>
    <x v="161"/>
    <x v="13"/>
    <s v="병충전"/>
    <x v="31"/>
    <n v="1600"/>
    <n v="6"/>
    <x v="4"/>
    <x v="161"/>
  </r>
  <r>
    <x v="2"/>
    <s v="엑손SR정 75MG"/>
    <x v="153"/>
    <x v="60"/>
    <s v="에페신SR정75MG 500T (병)(명문제약)"/>
    <x v="157"/>
    <x v="9"/>
    <s v="병포장"/>
    <x v="32"/>
    <n v="1600"/>
    <n v="6"/>
    <x v="4"/>
    <x v="157"/>
  </r>
  <r>
    <x v="2"/>
    <s v="엑손SR정 75MG"/>
    <x v="154"/>
    <x v="60"/>
    <s v="에페신SR정75MG 500T (병)(명문제약)"/>
    <x v="158"/>
    <x v="9"/>
    <s v="병포장"/>
    <x v="32"/>
    <n v="1600"/>
    <n v="6"/>
    <x v="4"/>
    <x v="158"/>
  </r>
  <r>
    <x v="2"/>
    <s v="엑손SR정 75MG"/>
    <x v="155"/>
    <x v="60"/>
    <s v="에페신SR정75MG 500T (병)(명문제약)"/>
    <x v="159"/>
    <x v="9"/>
    <s v="병포장"/>
    <x v="32"/>
    <n v="1600"/>
    <n v="6"/>
    <x v="4"/>
    <x v="159"/>
  </r>
  <r>
    <x v="2"/>
    <s v="엑손SR정 75MG"/>
    <x v="156"/>
    <x v="60"/>
    <s v="에페신SR정75MG 500T (병)(명문제약)"/>
    <x v="160"/>
    <x v="9"/>
    <s v="병포장"/>
    <x v="32"/>
    <n v="1600"/>
    <n v="6"/>
    <x v="4"/>
    <x v="160"/>
  </r>
  <r>
    <x v="2"/>
    <s v="엑손SR정 75MG"/>
    <x v="157"/>
    <x v="60"/>
    <s v="에페신SR정75MG 500T (병)(명문제약)"/>
    <x v="161"/>
    <x v="9"/>
    <s v="병포장"/>
    <x v="32"/>
    <n v="1600"/>
    <n v="6"/>
    <x v="4"/>
    <x v="161"/>
  </r>
  <r>
    <x v="2"/>
    <s v="엑손정 50MG"/>
    <x v="95"/>
    <x v="61"/>
    <s v="엑손정50MG 500T (병)"/>
    <x v="162"/>
    <x v="13"/>
    <s v="병충전"/>
    <x v="31"/>
    <n v="2000"/>
    <n v="6"/>
    <x v="5"/>
    <x v="162"/>
  </r>
  <r>
    <x v="2"/>
    <s v="엑손정 50MG"/>
    <x v="95"/>
    <x v="61"/>
    <s v="엑손정50MG 500T (병)"/>
    <x v="162"/>
    <x v="9"/>
    <s v="병포장"/>
    <x v="32"/>
    <n v="2000"/>
    <n v="6"/>
    <x v="5"/>
    <x v="162"/>
  </r>
  <r>
    <x v="3"/>
    <s v="다파릴듀오서방정10/1000MG"/>
    <x v="158"/>
    <x v="62"/>
    <s v="다파릴듀오서방정10/1000mg 30정 (PTP)"/>
    <x v="163"/>
    <x v="2"/>
    <s v="PTP충전"/>
    <x v="33"/>
    <n v="6666"/>
    <n v="21"/>
    <x v="0"/>
    <x v="163"/>
  </r>
  <r>
    <x v="3"/>
    <s v="다파릴듀오서방정10/1000MG"/>
    <x v="159"/>
    <x v="62"/>
    <s v="다파릴듀오서방정10/1000mg 30정 (PTP)"/>
    <x v="164"/>
    <x v="2"/>
    <s v="PTP충전"/>
    <x v="33"/>
    <n v="6666"/>
    <n v="21"/>
    <x v="0"/>
    <x v="164"/>
  </r>
  <r>
    <x v="3"/>
    <s v="다파릴듀오서방정10/1000MG"/>
    <x v="160"/>
    <x v="62"/>
    <s v="다파릴듀오서방정10/1000mg 30정 (PTP)"/>
    <x v="165"/>
    <x v="2"/>
    <s v="PTP충전"/>
    <x v="33"/>
    <n v="6666"/>
    <n v="21"/>
    <x v="0"/>
    <x v="165"/>
  </r>
  <r>
    <x v="3"/>
    <s v="다파릴듀오서방정10/1000MG"/>
    <x v="158"/>
    <x v="62"/>
    <s v="다파릴듀오서방정10/1000mg 30정 (PTP)"/>
    <x v="163"/>
    <x v="2"/>
    <s v="PTP충전"/>
    <x v="33"/>
    <n v="6666"/>
    <n v="21"/>
    <x v="0"/>
    <x v="163"/>
  </r>
  <r>
    <x v="3"/>
    <s v="다파릴듀오서방정10/1000MG"/>
    <x v="159"/>
    <x v="62"/>
    <s v="다파릴듀오서방정10/1000mg 30정 (PTP)"/>
    <x v="164"/>
    <x v="2"/>
    <s v="PTP충전"/>
    <x v="33"/>
    <n v="6666"/>
    <n v="21"/>
    <x v="0"/>
    <x v="164"/>
  </r>
  <r>
    <x v="3"/>
    <s v="다파릴듀오서방정10/1000MG"/>
    <x v="160"/>
    <x v="62"/>
    <s v="다파릴듀오서방정10/1000mg 30정 (PTP)"/>
    <x v="165"/>
    <x v="2"/>
    <s v="PTP충전"/>
    <x v="33"/>
    <n v="6666"/>
    <n v="21"/>
    <x v="0"/>
    <x v="165"/>
  </r>
  <r>
    <x v="3"/>
    <s v="다파릴듀오서방정10/1000MG"/>
    <x v="158"/>
    <x v="62"/>
    <s v="다파릴듀오서방정10/1000mg 30정 (PTP)"/>
    <x v="163"/>
    <x v="2"/>
    <s v="PTP충전"/>
    <x v="33"/>
    <n v="6666"/>
    <n v="21"/>
    <x v="0"/>
    <x v="163"/>
  </r>
  <r>
    <x v="3"/>
    <s v="다파릴듀오서방정10/1000MG"/>
    <x v="159"/>
    <x v="62"/>
    <s v="다파릴듀오서방정10/1000mg 30정 (PTP)"/>
    <x v="164"/>
    <x v="2"/>
    <s v="PTP충전"/>
    <x v="33"/>
    <n v="6666"/>
    <n v="21"/>
    <x v="0"/>
    <x v="164"/>
  </r>
  <r>
    <x v="3"/>
    <s v="다파릴듀오서방정10/1000MG"/>
    <x v="160"/>
    <x v="62"/>
    <s v="다파릴듀오서방정10/1000mg 30정 (PTP)"/>
    <x v="165"/>
    <x v="2"/>
    <s v="PTP충전"/>
    <x v="33"/>
    <n v="6666"/>
    <n v="21"/>
    <x v="0"/>
    <x v="165"/>
  </r>
  <r>
    <x v="3"/>
    <s v="다파릴듀오서방정10/1000MG"/>
    <x v="158"/>
    <x v="62"/>
    <s v="다파릴듀오서방정10/1000mg 30정 (PTP)"/>
    <x v="163"/>
    <x v="10"/>
    <s v="PTP포장"/>
    <x v="34"/>
    <n v="6666"/>
    <n v="24"/>
    <x v="0"/>
    <x v="163"/>
  </r>
  <r>
    <x v="3"/>
    <s v="다파릴듀오서방정10/1000MG"/>
    <x v="159"/>
    <x v="62"/>
    <s v="다파릴듀오서방정10/1000mg 30정 (PTP)"/>
    <x v="164"/>
    <x v="10"/>
    <s v="PTP포장"/>
    <x v="34"/>
    <n v="6666"/>
    <n v="24"/>
    <x v="0"/>
    <x v="164"/>
  </r>
  <r>
    <x v="3"/>
    <s v="다파릴듀오서방정10/1000MG"/>
    <x v="160"/>
    <x v="62"/>
    <s v="다파릴듀오서방정10/1000mg 30정 (PTP)"/>
    <x v="165"/>
    <x v="10"/>
    <s v="PTP포장"/>
    <x v="34"/>
    <n v="6666"/>
    <n v="24"/>
    <x v="0"/>
    <x v="165"/>
  </r>
  <r>
    <x v="3"/>
    <s v="다파릴듀오서방정10/1000MG"/>
    <x v="158"/>
    <x v="62"/>
    <s v="다파릴듀오서방정10/1000mg 30정 (PTP)"/>
    <x v="163"/>
    <x v="10"/>
    <s v="PTP포장"/>
    <x v="34"/>
    <n v="6666"/>
    <n v="24"/>
    <x v="0"/>
    <x v="163"/>
  </r>
  <r>
    <x v="3"/>
    <s v="다파릴듀오서방정10/1000MG"/>
    <x v="159"/>
    <x v="62"/>
    <s v="다파릴듀오서방정10/1000mg 30정 (PTP)"/>
    <x v="164"/>
    <x v="10"/>
    <s v="PTP포장"/>
    <x v="34"/>
    <n v="6666"/>
    <n v="24"/>
    <x v="0"/>
    <x v="164"/>
  </r>
  <r>
    <x v="3"/>
    <s v="다파릴듀오서방정10/1000MG"/>
    <x v="160"/>
    <x v="62"/>
    <s v="다파릴듀오서방정10/1000mg 30정 (PTP)"/>
    <x v="165"/>
    <x v="10"/>
    <s v="PTP포장"/>
    <x v="34"/>
    <n v="6666"/>
    <n v="24"/>
    <x v="0"/>
    <x v="165"/>
  </r>
  <r>
    <x v="3"/>
    <s v="다파릴듀오서방정10/1000MG"/>
    <x v="158"/>
    <x v="62"/>
    <s v="다파릴듀오서방정10/1000mg 30정 (PTP)"/>
    <x v="163"/>
    <x v="10"/>
    <s v="PTP포장"/>
    <x v="34"/>
    <n v="6666"/>
    <n v="24"/>
    <x v="0"/>
    <x v="163"/>
  </r>
  <r>
    <x v="3"/>
    <s v="다파릴듀오서방정10/1000MG"/>
    <x v="159"/>
    <x v="62"/>
    <s v="다파릴듀오서방정10/1000mg 30정 (PTP)"/>
    <x v="164"/>
    <x v="10"/>
    <s v="PTP포장"/>
    <x v="34"/>
    <n v="6666"/>
    <n v="24"/>
    <x v="0"/>
    <x v="164"/>
  </r>
  <r>
    <x v="3"/>
    <s v="다파릴듀오서방정10/1000MG"/>
    <x v="160"/>
    <x v="62"/>
    <s v="다파릴듀오서방정10/1000mg 30정 (PTP)"/>
    <x v="165"/>
    <x v="10"/>
    <s v="PTP포장"/>
    <x v="34"/>
    <n v="6666"/>
    <n v="24"/>
    <x v="0"/>
    <x v="165"/>
  </r>
  <r>
    <x v="4"/>
    <s v="AYP-101(2.5%)"/>
    <x v="42"/>
    <x v="63"/>
    <s v="AYP-101(2.5%) 1V 반제품 (아미팜)"/>
    <x v="166"/>
    <x v="8"/>
    <s v="이물검사"/>
    <x v="35"/>
    <n v="40000"/>
    <n v="4"/>
    <x v="0"/>
    <x v="166"/>
  </r>
  <r>
    <x v="4"/>
    <s v="분말바이알1G"/>
    <x v="161"/>
    <x v="64"/>
    <s v="데노간주1G 10V (영진약품)"/>
    <x v="167"/>
    <x v="9"/>
    <s v="세척 및 멸균"/>
    <x v="36"/>
    <n v="4000"/>
    <n v="11"/>
    <x v="1"/>
    <x v="167"/>
  </r>
  <r>
    <x v="4"/>
    <s v="분말바이알1G"/>
    <x v="161"/>
    <x v="64"/>
    <s v="데노간주1G 10V (영진약품)"/>
    <x v="167"/>
    <x v="10"/>
    <s v="충전 및 실링"/>
    <x v="37"/>
    <n v="4000"/>
    <n v="16"/>
    <x v="1"/>
    <x v="167"/>
  </r>
  <r>
    <x v="4"/>
    <s v="분말바이알1G"/>
    <x v="162"/>
    <x v="64"/>
    <s v="데노간주1G 10V (영진약품)"/>
    <x v="168"/>
    <x v="9"/>
    <s v="세척 및 멸균"/>
    <x v="36"/>
    <n v="4850"/>
    <n v="13"/>
    <x v="1"/>
    <x v="168"/>
  </r>
  <r>
    <x v="4"/>
    <s v="분말바이알1G"/>
    <x v="162"/>
    <x v="64"/>
    <s v="데노간주1G 10V (영진약품)"/>
    <x v="168"/>
    <x v="10"/>
    <s v="충전 및 실링"/>
    <x v="37"/>
    <n v="4850"/>
    <n v="17"/>
    <x v="1"/>
    <x v="168"/>
  </r>
  <r>
    <x v="4"/>
    <s v="액상바이알"/>
    <x v="163"/>
    <x v="65"/>
    <s v="셀베인주 10V (제론셀베인)"/>
    <x v="169"/>
    <x v="2"/>
    <s v="조제"/>
    <x v="38"/>
    <n v="5000"/>
    <n v="3"/>
    <x v="2"/>
    <x v="169"/>
  </r>
  <r>
    <x v="4"/>
    <s v="액상바이알"/>
    <x v="163"/>
    <x v="65"/>
    <s v="셀베인주 10V (제론셀베인)"/>
    <x v="169"/>
    <x v="9"/>
    <s v="세척 및 멸균"/>
    <x v="39"/>
    <n v="5000"/>
    <n v="9"/>
    <x v="2"/>
    <x v="169"/>
  </r>
  <r>
    <x v="4"/>
    <s v="액상바이알"/>
    <x v="164"/>
    <x v="65"/>
    <s v="셀베인주 10V (제론셀베인)"/>
    <x v="170"/>
    <x v="10"/>
    <s v="충전 및 실링"/>
    <x v="40"/>
    <n v="5000"/>
    <n v="14"/>
    <x v="2"/>
    <x v="170"/>
  </r>
  <r>
    <x v="4"/>
    <s v="액상바이알"/>
    <x v="163"/>
    <x v="65"/>
    <s v="셀베인주 10V (제론셀베인)"/>
    <x v="169"/>
    <x v="10"/>
    <s v="충전 및 실링"/>
    <x v="40"/>
    <n v="5000"/>
    <n v="14"/>
    <x v="2"/>
    <x v="169"/>
  </r>
  <r>
    <x v="4"/>
    <s v="액상바이알"/>
    <x v="165"/>
    <x v="65"/>
    <s v="셀베인주 10V (제론셀베인)"/>
    <x v="171"/>
    <x v="8"/>
    <s v="이물검사"/>
    <x v="35"/>
    <n v="5000"/>
    <n v="22"/>
    <x v="2"/>
    <x v="171"/>
  </r>
  <r>
    <x v="4"/>
    <s v="액상바이알"/>
    <x v="164"/>
    <x v="65"/>
    <s v="셀베인주 10V (제론셀베인)"/>
    <x v="170"/>
    <x v="8"/>
    <s v="이물검사"/>
    <x v="35"/>
    <n v="5000"/>
    <n v="22"/>
    <x v="2"/>
    <x v="170"/>
  </r>
  <r>
    <x v="4"/>
    <s v="액상바이알"/>
    <x v="163"/>
    <x v="65"/>
    <s v="셀베인주 10V (제론셀베인)"/>
    <x v="169"/>
    <x v="8"/>
    <s v="이물검사"/>
    <x v="35"/>
    <n v="5000"/>
    <n v="22"/>
    <x v="2"/>
    <x v="169"/>
  </r>
  <r>
    <x v="4"/>
    <s v="주사제10ML"/>
    <x v="166"/>
    <x v="66"/>
    <s v="메트몰주 1G/10ML(구주제약) 10A"/>
    <x v="172"/>
    <x v="8"/>
    <s v="이물검사"/>
    <x v="41"/>
    <n v="4000"/>
    <n v="9"/>
    <x v="3"/>
    <x v="172"/>
  </r>
  <r>
    <x v="4"/>
    <s v="주사제1ML"/>
    <x v="167"/>
    <x v="67"/>
    <s v="트로돈주50MG 50A"/>
    <x v="173"/>
    <x v="2"/>
    <s v="조제"/>
    <x v="42"/>
    <n v="2000"/>
    <n v="3"/>
    <x v="4"/>
    <x v="173"/>
  </r>
  <r>
    <x v="4"/>
    <s v="주사제1ML"/>
    <x v="168"/>
    <x v="67"/>
    <s v="트로돈주50MG 50A"/>
    <x v="174"/>
    <x v="2"/>
    <s v="조제"/>
    <x v="42"/>
    <n v="2000"/>
    <n v="3"/>
    <x v="4"/>
    <x v="174"/>
  </r>
  <r>
    <x v="4"/>
    <s v="주사제1ML"/>
    <x v="169"/>
    <x v="67"/>
    <s v="트로돈주50MG 50A"/>
    <x v="175"/>
    <x v="2"/>
    <s v="조제"/>
    <x v="42"/>
    <n v="2000"/>
    <n v="3"/>
    <x v="4"/>
    <x v="175"/>
  </r>
  <r>
    <x v="4"/>
    <s v="주사제1ML"/>
    <x v="170"/>
    <x v="67"/>
    <s v="트로돈주50MG 50A"/>
    <x v="176"/>
    <x v="2"/>
    <s v="조제"/>
    <x v="42"/>
    <n v="2000"/>
    <n v="3"/>
    <x v="4"/>
    <x v="176"/>
  </r>
  <r>
    <x v="4"/>
    <s v="주사제1ML"/>
    <x v="167"/>
    <x v="67"/>
    <s v="트로돈주50MG 50A"/>
    <x v="173"/>
    <x v="2"/>
    <s v="조제"/>
    <x v="42"/>
    <n v="2000"/>
    <n v="3"/>
    <x v="4"/>
    <x v="173"/>
  </r>
  <r>
    <x v="4"/>
    <s v="주사제1ML"/>
    <x v="168"/>
    <x v="67"/>
    <s v="트로돈주50MG 50A"/>
    <x v="174"/>
    <x v="2"/>
    <s v="조제"/>
    <x v="42"/>
    <n v="2000"/>
    <n v="3"/>
    <x v="4"/>
    <x v="174"/>
  </r>
  <r>
    <x v="4"/>
    <s v="주사제1ML"/>
    <x v="169"/>
    <x v="67"/>
    <s v="트로돈주50MG 50A"/>
    <x v="175"/>
    <x v="2"/>
    <s v="조제"/>
    <x v="42"/>
    <n v="2000"/>
    <n v="3"/>
    <x v="4"/>
    <x v="175"/>
  </r>
  <r>
    <x v="4"/>
    <s v="주사제1ML"/>
    <x v="170"/>
    <x v="67"/>
    <s v="트로돈주50MG 50A"/>
    <x v="176"/>
    <x v="2"/>
    <s v="조제"/>
    <x v="42"/>
    <n v="2000"/>
    <n v="3"/>
    <x v="4"/>
    <x v="176"/>
  </r>
  <r>
    <x v="4"/>
    <s v="주사제1ML"/>
    <x v="167"/>
    <x v="67"/>
    <s v="트로돈주50MG 50A"/>
    <x v="173"/>
    <x v="9"/>
    <s v="세척 및 멸균"/>
    <x v="43"/>
    <n v="2000"/>
    <n v="13"/>
    <x v="4"/>
    <x v="173"/>
  </r>
  <r>
    <x v="4"/>
    <s v="주사제1ML"/>
    <x v="168"/>
    <x v="67"/>
    <s v="트로돈주50MG 50A"/>
    <x v="174"/>
    <x v="9"/>
    <s v="세척 및 멸균"/>
    <x v="43"/>
    <n v="2000"/>
    <n v="13"/>
    <x v="4"/>
    <x v="174"/>
  </r>
  <r>
    <x v="4"/>
    <s v="주사제1ML"/>
    <x v="169"/>
    <x v="67"/>
    <s v="트로돈주50MG 50A"/>
    <x v="175"/>
    <x v="9"/>
    <s v="세척 및 멸균"/>
    <x v="43"/>
    <n v="2000"/>
    <n v="13"/>
    <x v="4"/>
    <x v="175"/>
  </r>
  <r>
    <x v="4"/>
    <s v="주사제1ML"/>
    <x v="170"/>
    <x v="67"/>
    <s v="트로돈주50MG 50A"/>
    <x v="176"/>
    <x v="9"/>
    <s v="세척 및 멸균"/>
    <x v="43"/>
    <n v="2000"/>
    <n v="13"/>
    <x v="4"/>
    <x v="176"/>
  </r>
  <r>
    <x v="4"/>
    <s v="주사제1ML"/>
    <x v="167"/>
    <x v="67"/>
    <s v="트로돈주50MG 50A"/>
    <x v="173"/>
    <x v="9"/>
    <s v="세척 및 멸균"/>
    <x v="43"/>
    <n v="2000"/>
    <n v="12"/>
    <x v="4"/>
    <x v="173"/>
  </r>
  <r>
    <x v="4"/>
    <s v="주사제1ML"/>
    <x v="168"/>
    <x v="67"/>
    <s v="트로돈주50MG 50A"/>
    <x v="174"/>
    <x v="9"/>
    <s v="세척 및 멸균"/>
    <x v="43"/>
    <n v="2000"/>
    <n v="12"/>
    <x v="4"/>
    <x v="174"/>
  </r>
  <r>
    <x v="4"/>
    <s v="주사제1ML"/>
    <x v="169"/>
    <x v="67"/>
    <s v="트로돈주50MG 50A"/>
    <x v="175"/>
    <x v="9"/>
    <s v="세척 및 멸균"/>
    <x v="43"/>
    <n v="2000"/>
    <n v="12"/>
    <x v="4"/>
    <x v="175"/>
  </r>
  <r>
    <x v="4"/>
    <s v="주사제1ML"/>
    <x v="170"/>
    <x v="67"/>
    <s v="트로돈주50MG 50A"/>
    <x v="176"/>
    <x v="9"/>
    <s v="세척 및 멸균"/>
    <x v="43"/>
    <n v="2000"/>
    <n v="12"/>
    <x v="4"/>
    <x v="176"/>
  </r>
  <r>
    <x v="4"/>
    <s v="주사제1ML"/>
    <x v="171"/>
    <x v="67"/>
    <s v="트로돈주50MG 50A"/>
    <x v="177"/>
    <x v="10"/>
    <s v="충전"/>
    <x v="44"/>
    <n v="2000"/>
    <n v="16"/>
    <x v="4"/>
    <x v="177"/>
  </r>
  <r>
    <x v="4"/>
    <s v="주사제1ML"/>
    <x v="167"/>
    <x v="67"/>
    <s v="트로돈주50MG 50A"/>
    <x v="173"/>
    <x v="10"/>
    <s v="충전"/>
    <x v="44"/>
    <n v="2000"/>
    <n v="16"/>
    <x v="4"/>
    <x v="173"/>
  </r>
  <r>
    <x v="4"/>
    <s v="주사제1ML"/>
    <x v="168"/>
    <x v="67"/>
    <s v="트로돈주50MG 50A"/>
    <x v="174"/>
    <x v="10"/>
    <s v="충전"/>
    <x v="44"/>
    <n v="2000"/>
    <n v="16"/>
    <x v="4"/>
    <x v="174"/>
  </r>
  <r>
    <x v="4"/>
    <s v="주사제1ML"/>
    <x v="169"/>
    <x v="67"/>
    <s v="트로돈주50MG 50A"/>
    <x v="175"/>
    <x v="10"/>
    <s v="충전"/>
    <x v="44"/>
    <n v="2000"/>
    <n v="16"/>
    <x v="4"/>
    <x v="175"/>
  </r>
  <r>
    <x v="4"/>
    <s v="주사제1ML"/>
    <x v="170"/>
    <x v="67"/>
    <s v="트로돈주50MG 50A"/>
    <x v="176"/>
    <x v="10"/>
    <s v="충전"/>
    <x v="44"/>
    <n v="2000"/>
    <n v="16"/>
    <x v="4"/>
    <x v="176"/>
  </r>
  <r>
    <x v="4"/>
    <s v="주사제1ML"/>
    <x v="171"/>
    <x v="67"/>
    <s v="트로돈주50MG 50A"/>
    <x v="177"/>
    <x v="10"/>
    <s v="충전"/>
    <x v="44"/>
    <n v="2000"/>
    <n v="14"/>
    <x v="4"/>
    <x v="177"/>
  </r>
  <r>
    <x v="4"/>
    <s v="주사제1ML"/>
    <x v="167"/>
    <x v="67"/>
    <s v="트로돈주50MG 50A"/>
    <x v="173"/>
    <x v="10"/>
    <s v="충전"/>
    <x v="44"/>
    <n v="2000"/>
    <n v="14"/>
    <x v="4"/>
    <x v="173"/>
  </r>
  <r>
    <x v="4"/>
    <s v="주사제1ML"/>
    <x v="168"/>
    <x v="67"/>
    <s v="트로돈주50MG 50A"/>
    <x v="174"/>
    <x v="10"/>
    <s v="충전"/>
    <x v="44"/>
    <n v="2000"/>
    <n v="14"/>
    <x v="4"/>
    <x v="174"/>
  </r>
  <r>
    <x v="4"/>
    <s v="주사제1ML"/>
    <x v="169"/>
    <x v="67"/>
    <s v="트로돈주50MG 50A"/>
    <x v="175"/>
    <x v="10"/>
    <s v="충전"/>
    <x v="44"/>
    <n v="2000"/>
    <n v="14"/>
    <x v="4"/>
    <x v="175"/>
  </r>
  <r>
    <x v="4"/>
    <s v="주사제1ML"/>
    <x v="170"/>
    <x v="67"/>
    <s v="트로돈주50MG 50A"/>
    <x v="176"/>
    <x v="10"/>
    <s v="충전"/>
    <x v="44"/>
    <n v="2000"/>
    <n v="14"/>
    <x v="4"/>
    <x v="176"/>
  </r>
  <r>
    <x v="4"/>
    <s v="주사제1ML"/>
    <x v="171"/>
    <x v="67"/>
    <s v="트로돈주50MG 50A"/>
    <x v="177"/>
    <x v="3"/>
    <s v="제품멸균"/>
    <x v="45"/>
    <n v="2000"/>
    <n v="2"/>
    <x v="4"/>
    <x v="177"/>
  </r>
  <r>
    <x v="4"/>
    <s v="주사제1ML"/>
    <x v="167"/>
    <x v="67"/>
    <s v="트로돈주50MG 50A"/>
    <x v="173"/>
    <x v="3"/>
    <s v="제품멸균"/>
    <x v="45"/>
    <n v="2000"/>
    <n v="2"/>
    <x v="4"/>
    <x v="173"/>
  </r>
  <r>
    <x v="4"/>
    <s v="주사제1ML"/>
    <x v="168"/>
    <x v="67"/>
    <s v="트로돈주50MG 50A"/>
    <x v="174"/>
    <x v="3"/>
    <s v="제품멸균"/>
    <x v="45"/>
    <n v="2000"/>
    <n v="2"/>
    <x v="4"/>
    <x v="174"/>
  </r>
  <r>
    <x v="4"/>
    <s v="주사제1ML"/>
    <x v="169"/>
    <x v="67"/>
    <s v="트로돈주50MG 50A"/>
    <x v="175"/>
    <x v="3"/>
    <s v="제품멸균"/>
    <x v="45"/>
    <n v="2000"/>
    <n v="2"/>
    <x v="4"/>
    <x v="175"/>
  </r>
  <r>
    <x v="4"/>
    <s v="주사제1ML"/>
    <x v="170"/>
    <x v="67"/>
    <s v="트로돈주50MG 50A"/>
    <x v="176"/>
    <x v="3"/>
    <s v="제품멸균"/>
    <x v="45"/>
    <n v="2000"/>
    <n v="2"/>
    <x v="4"/>
    <x v="176"/>
  </r>
  <r>
    <x v="4"/>
    <s v="주사제1ML"/>
    <x v="171"/>
    <x v="67"/>
    <s v="트로돈주50MG 50A"/>
    <x v="177"/>
    <x v="3"/>
    <s v="제품멸균"/>
    <x v="45"/>
    <n v="2000"/>
    <n v="2"/>
    <x v="4"/>
    <x v="177"/>
  </r>
  <r>
    <x v="4"/>
    <s v="주사제1ML"/>
    <x v="167"/>
    <x v="67"/>
    <s v="트로돈주50MG 50A"/>
    <x v="173"/>
    <x v="3"/>
    <s v="제품멸균"/>
    <x v="45"/>
    <n v="2000"/>
    <n v="2"/>
    <x v="4"/>
    <x v="173"/>
  </r>
  <r>
    <x v="4"/>
    <s v="주사제1ML"/>
    <x v="168"/>
    <x v="67"/>
    <s v="트로돈주50MG 50A"/>
    <x v="174"/>
    <x v="3"/>
    <s v="제품멸균"/>
    <x v="45"/>
    <n v="2000"/>
    <n v="2"/>
    <x v="4"/>
    <x v="174"/>
  </r>
  <r>
    <x v="4"/>
    <s v="주사제1ML"/>
    <x v="169"/>
    <x v="67"/>
    <s v="트로돈주50MG 50A"/>
    <x v="175"/>
    <x v="3"/>
    <s v="제품멸균"/>
    <x v="45"/>
    <n v="2000"/>
    <n v="2"/>
    <x v="4"/>
    <x v="175"/>
  </r>
  <r>
    <x v="4"/>
    <s v="주사제1ML"/>
    <x v="170"/>
    <x v="67"/>
    <s v="트로돈주50MG 50A"/>
    <x v="176"/>
    <x v="3"/>
    <s v="제품멸균"/>
    <x v="45"/>
    <n v="2000"/>
    <n v="2"/>
    <x v="4"/>
    <x v="176"/>
  </r>
  <r>
    <x v="4"/>
    <s v="주사제1ML"/>
    <x v="172"/>
    <x v="67"/>
    <s v="트로돈주50MG 50A"/>
    <x v="178"/>
    <x v="8"/>
    <s v="이물검사"/>
    <x v="46"/>
    <n v="2000"/>
    <n v="11"/>
    <x v="4"/>
    <x v="178"/>
  </r>
  <r>
    <x v="4"/>
    <s v="주사제1ML"/>
    <x v="171"/>
    <x v="67"/>
    <s v="트로돈주50MG 50A"/>
    <x v="177"/>
    <x v="8"/>
    <s v="이물검사"/>
    <x v="46"/>
    <n v="2000"/>
    <n v="11"/>
    <x v="4"/>
    <x v="177"/>
  </r>
  <r>
    <x v="4"/>
    <s v="주사제1ML"/>
    <x v="167"/>
    <x v="67"/>
    <s v="트로돈주50MG 50A"/>
    <x v="173"/>
    <x v="8"/>
    <s v="이물검사"/>
    <x v="46"/>
    <n v="2000"/>
    <n v="11"/>
    <x v="4"/>
    <x v="173"/>
  </r>
  <r>
    <x v="4"/>
    <s v="주사제1ML"/>
    <x v="168"/>
    <x v="67"/>
    <s v="트로돈주50MG 50A"/>
    <x v="174"/>
    <x v="8"/>
    <s v="이물검사"/>
    <x v="46"/>
    <n v="2000"/>
    <n v="11"/>
    <x v="4"/>
    <x v="174"/>
  </r>
  <r>
    <x v="4"/>
    <s v="주사제1ML"/>
    <x v="169"/>
    <x v="67"/>
    <s v="트로돈주50MG 50A"/>
    <x v="175"/>
    <x v="8"/>
    <s v="이물검사"/>
    <x v="46"/>
    <n v="2000"/>
    <n v="11"/>
    <x v="4"/>
    <x v="175"/>
  </r>
  <r>
    <x v="4"/>
    <s v="주사제1ML"/>
    <x v="170"/>
    <x v="67"/>
    <s v="트로돈주50MG 50A"/>
    <x v="176"/>
    <x v="8"/>
    <s v="이물검사"/>
    <x v="46"/>
    <n v="2000"/>
    <n v="11"/>
    <x v="4"/>
    <x v="176"/>
  </r>
  <r>
    <x v="4"/>
    <s v="주사제1ML"/>
    <x v="172"/>
    <x v="67"/>
    <s v="트로돈주50MG 50A"/>
    <x v="178"/>
    <x v="8"/>
    <s v="이물검사"/>
    <x v="46"/>
    <n v="2000"/>
    <n v="10"/>
    <x v="4"/>
    <x v="178"/>
  </r>
  <r>
    <x v="4"/>
    <s v="주사제1ML"/>
    <x v="171"/>
    <x v="67"/>
    <s v="트로돈주50MG 50A"/>
    <x v="177"/>
    <x v="8"/>
    <s v="이물검사"/>
    <x v="46"/>
    <n v="2000"/>
    <n v="10"/>
    <x v="4"/>
    <x v="177"/>
  </r>
  <r>
    <x v="4"/>
    <s v="주사제1ML"/>
    <x v="167"/>
    <x v="67"/>
    <s v="트로돈주50MG 50A"/>
    <x v="173"/>
    <x v="8"/>
    <s v="이물검사"/>
    <x v="46"/>
    <n v="2000"/>
    <n v="10"/>
    <x v="4"/>
    <x v="173"/>
  </r>
  <r>
    <x v="4"/>
    <s v="주사제1ML"/>
    <x v="168"/>
    <x v="67"/>
    <s v="트로돈주50MG 50A"/>
    <x v="174"/>
    <x v="8"/>
    <s v="이물검사"/>
    <x v="46"/>
    <n v="2000"/>
    <n v="10"/>
    <x v="4"/>
    <x v="174"/>
  </r>
  <r>
    <x v="4"/>
    <s v="주사제1ML"/>
    <x v="169"/>
    <x v="67"/>
    <s v="트로돈주50MG 50A"/>
    <x v="175"/>
    <x v="8"/>
    <s v="이물검사"/>
    <x v="46"/>
    <n v="2000"/>
    <n v="10"/>
    <x v="4"/>
    <x v="175"/>
  </r>
  <r>
    <x v="4"/>
    <s v="주사제1ML"/>
    <x v="170"/>
    <x v="67"/>
    <s v="트로돈주50MG 50A"/>
    <x v="176"/>
    <x v="8"/>
    <s v="이물검사"/>
    <x v="46"/>
    <n v="2000"/>
    <n v="10"/>
    <x v="4"/>
    <x v="176"/>
  </r>
  <r>
    <x v="4"/>
    <s v="주사제2ML"/>
    <x v="173"/>
    <x v="68"/>
    <s v="제이비피플라몬주 10A (파마리서치)"/>
    <x v="179"/>
    <x v="8"/>
    <s v="이물검사"/>
    <x v="46"/>
    <n v="7041"/>
    <n v="9"/>
    <x v="5"/>
    <x v="179"/>
  </r>
  <r>
    <x v="4"/>
    <s v="주사제2ML"/>
    <x v="174"/>
    <x v="69"/>
    <s v="에취투주200MG 50A (중외제약)"/>
    <x v="180"/>
    <x v="2"/>
    <s v="조제"/>
    <x v="47"/>
    <n v="4000"/>
    <n v="4"/>
    <x v="6"/>
    <x v="180"/>
  </r>
  <r>
    <x v="4"/>
    <s v="주사제2ML"/>
    <x v="175"/>
    <x v="69"/>
    <s v="에취투주200MG 50A (중외제약)"/>
    <x v="181"/>
    <x v="2"/>
    <s v="조제"/>
    <x v="47"/>
    <n v="4000"/>
    <n v="4"/>
    <x v="6"/>
    <x v="181"/>
  </r>
  <r>
    <x v="4"/>
    <s v="주사제2ML"/>
    <x v="176"/>
    <x v="69"/>
    <s v="에취투주200MG 50A (중외제약)"/>
    <x v="182"/>
    <x v="2"/>
    <s v="조제"/>
    <x v="47"/>
    <n v="4000"/>
    <n v="4"/>
    <x v="6"/>
    <x v="182"/>
  </r>
  <r>
    <x v="4"/>
    <s v="주사제2ML"/>
    <x v="174"/>
    <x v="69"/>
    <s v="에취투주200MG 50A (중외제약)"/>
    <x v="180"/>
    <x v="9"/>
    <s v="세척 및 멸균"/>
    <x v="48"/>
    <n v="4000"/>
    <n v="21"/>
    <x v="6"/>
    <x v="180"/>
  </r>
  <r>
    <x v="4"/>
    <s v="주사제2ML"/>
    <x v="175"/>
    <x v="69"/>
    <s v="에취투주200MG 50A (중외제약)"/>
    <x v="181"/>
    <x v="9"/>
    <s v="세척 및 멸균"/>
    <x v="48"/>
    <n v="4000"/>
    <n v="21"/>
    <x v="6"/>
    <x v="181"/>
  </r>
  <r>
    <x v="4"/>
    <s v="주사제2ML"/>
    <x v="176"/>
    <x v="69"/>
    <s v="에취투주200MG 50A (중외제약)"/>
    <x v="182"/>
    <x v="9"/>
    <s v="세척 및 멸균"/>
    <x v="48"/>
    <n v="4000"/>
    <n v="21"/>
    <x v="6"/>
    <x v="182"/>
  </r>
  <r>
    <x v="4"/>
    <s v="주사제2ML"/>
    <x v="174"/>
    <x v="69"/>
    <s v="에취투주200MG 50A (중외제약)"/>
    <x v="180"/>
    <x v="10"/>
    <s v="충전"/>
    <x v="49"/>
    <n v="4000"/>
    <n v="21"/>
    <x v="6"/>
    <x v="180"/>
  </r>
  <r>
    <x v="4"/>
    <s v="주사제2ML"/>
    <x v="175"/>
    <x v="69"/>
    <s v="에취투주200MG 50A (중외제약)"/>
    <x v="181"/>
    <x v="10"/>
    <s v="충전"/>
    <x v="49"/>
    <n v="4000"/>
    <n v="21"/>
    <x v="6"/>
    <x v="181"/>
  </r>
  <r>
    <x v="4"/>
    <s v="주사제2ML"/>
    <x v="176"/>
    <x v="69"/>
    <s v="에취투주200MG 50A (중외제약)"/>
    <x v="182"/>
    <x v="10"/>
    <s v="충전"/>
    <x v="49"/>
    <n v="4000"/>
    <n v="21"/>
    <x v="6"/>
    <x v="182"/>
  </r>
  <r>
    <x v="4"/>
    <s v="주사제2ML"/>
    <x v="174"/>
    <x v="69"/>
    <s v="에취투주200MG 50A (중외제약)"/>
    <x v="180"/>
    <x v="8"/>
    <s v="이물검사"/>
    <x v="46"/>
    <n v="4000"/>
    <n v="19"/>
    <x v="6"/>
    <x v="180"/>
  </r>
  <r>
    <x v="4"/>
    <s v="주사제2ML"/>
    <x v="175"/>
    <x v="69"/>
    <s v="에취투주200MG 50A (중외제약)"/>
    <x v="181"/>
    <x v="8"/>
    <s v="이물검사"/>
    <x v="46"/>
    <n v="4000"/>
    <n v="19"/>
    <x v="6"/>
    <x v="181"/>
  </r>
  <r>
    <x v="4"/>
    <s v="주사제2ML"/>
    <x v="176"/>
    <x v="69"/>
    <s v="에취투주200MG 50A (중외제약)"/>
    <x v="182"/>
    <x v="8"/>
    <s v="이물검사"/>
    <x v="46"/>
    <n v="4000"/>
    <n v="19"/>
    <x v="6"/>
    <x v="182"/>
  </r>
  <r>
    <x v="4"/>
    <s v="주사제2ML"/>
    <x v="177"/>
    <x v="70"/>
    <s v="프레디솔주125MG 1A (이연제약)"/>
    <x v="183"/>
    <x v="2"/>
    <s v="조제"/>
    <x v="47"/>
    <n v="76000"/>
    <n v="2"/>
    <x v="7"/>
    <x v="183"/>
  </r>
  <r>
    <x v="4"/>
    <s v="주사제2ML"/>
    <x v="177"/>
    <x v="70"/>
    <s v="프레디솔주125MG 1A (이연제약)"/>
    <x v="183"/>
    <x v="9"/>
    <s v="세척 및 멸균"/>
    <x v="48"/>
    <n v="76000"/>
    <n v="9"/>
    <x v="7"/>
    <x v="183"/>
  </r>
  <r>
    <x v="4"/>
    <s v="주사제2ML"/>
    <x v="177"/>
    <x v="70"/>
    <s v="프레디솔주125MG 1A (이연제약)"/>
    <x v="183"/>
    <x v="10"/>
    <s v="충전"/>
    <x v="49"/>
    <n v="76000"/>
    <n v="12"/>
    <x v="7"/>
    <x v="183"/>
  </r>
  <r>
    <x v="4"/>
    <s v="주사제2ML"/>
    <x v="177"/>
    <x v="70"/>
    <s v="프레디솔주125MG 1A (이연제약)"/>
    <x v="183"/>
    <x v="3"/>
    <s v="제품멸균"/>
    <x v="45"/>
    <n v="76000"/>
    <n v="2"/>
    <x v="7"/>
    <x v="183"/>
  </r>
  <r>
    <x v="4"/>
    <s v="주사제2ML"/>
    <x v="177"/>
    <x v="70"/>
    <s v="프레디솔주125MG 1A (이연제약)"/>
    <x v="183"/>
    <x v="8"/>
    <s v="이물검사"/>
    <x v="46"/>
    <n v="76000"/>
    <n v="9"/>
    <x v="7"/>
    <x v="183"/>
  </r>
  <r>
    <x v="4"/>
    <s v="주사제5ML"/>
    <x v="178"/>
    <x v="71"/>
    <s v="라보파주50MG 10A (중외제약)"/>
    <x v="184"/>
    <x v="2"/>
    <s v="조제"/>
    <x v="42"/>
    <n v="4000"/>
    <n v="3"/>
    <x v="8"/>
    <x v="184"/>
  </r>
  <r>
    <x v="4"/>
    <s v="주사제5ML"/>
    <x v="152"/>
    <x v="71"/>
    <s v="라보파주50MG 10A (중외제약)"/>
    <x v="185"/>
    <x v="2"/>
    <s v="조제"/>
    <x v="42"/>
    <n v="4000"/>
    <n v="3"/>
    <x v="8"/>
    <x v="185"/>
  </r>
  <r>
    <x v="4"/>
    <s v="주사제5ML"/>
    <x v="178"/>
    <x v="71"/>
    <s v="라보파주50MG 10A (중외제약)"/>
    <x v="184"/>
    <x v="9"/>
    <s v="세척 및 멸균"/>
    <x v="43"/>
    <n v="4000"/>
    <n v="7"/>
    <x v="8"/>
    <x v="184"/>
  </r>
  <r>
    <x v="4"/>
    <s v="주사제5ML"/>
    <x v="152"/>
    <x v="71"/>
    <s v="라보파주50MG 10A (중외제약)"/>
    <x v="185"/>
    <x v="9"/>
    <s v="세척 및 멸균"/>
    <x v="43"/>
    <n v="4000"/>
    <n v="7"/>
    <x v="8"/>
    <x v="185"/>
  </r>
  <r>
    <x v="4"/>
    <s v="주사제5ML"/>
    <x v="178"/>
    <x v="71"/>
    <s v="라보파주50MG 10A (중외제약)"/>
    <x v="184"/>
    <x v="10"/>
    <s v="충전"/>
    <x v="44"/>
    <n v="4000"/>
    <n v="10"/>
    <x v="8"/>
    <x v="184"/>
  </r>
  <r>
    <x v="4"/>
    <s v="주사제5ML"/>
    <x v="152"/>
    <x v="71"/>
    <s v="라보파주50MG 10A (중외제약)"/>
    <x v="185"/>
    <x v="10"/>
    <s v="충전"/>
    <x v="44"/>
    <n v="4000"/>
    <n v="10"/>
    <x v="8"/>
    <x v="185"/>
  </r>
  <r>
    <x v="4"/>
    <s v="주사제5ML"/>
    <x v="178"/>
    <x v="71"/>
    <s v="라보파주50MG 10A (중외제약)"/>
    <x v="184"/>
    <x v="3"/>
    <s v="제품멸균"/>
    <x v="45"/>
    <n v="4000"/>
    <n v="2"/>
    <x v="8"/>
    <x v="184"/>
  </r>
  <r>
    <x v="4"/>
    <s v="주사제5ML"/>
    <x v="152"/>
    <x v="71"/>
    <s v="라보파주50MG 10A (중외제약)"/>
    <x v="185"/>
    <x v="3"/>
    <s v="제품멸균"/>
    <x v="45"/>
    <n v="4000"/>
    <n v="2"/>
    <x v="8"/>
    <x v="185"/>
  </r>
  <r>
    <x v="4"/>
    <s v="주사제5ML"/>
    <x v="178"/>
    <x v="71"/>
    <s v="라보파주50MG 10A (중외제약)"/>
    <x v="184"/>
    <x v="8"/>
    <s v="이물검사"/>
    <x v="46"/>
    <n v="4000"/>
    <n v="7"/>
    <x v="8"/>
    <x v="184"/>
  </r>
  <r>
    <x v="4"/>
    <s v="주사제5ML"/>
    <x v="152"/>
    <x v="71"/>
    <s v="라보파주50MG 10A (중외제약)"/>
    <x v="185"/>
    <x v="8"/>
    <s v="이물검사"/>
    <x v="46"/>
    <n v="4000"/>
    <n v="7"/>
    <x v="8"/>
    <x v="185"/>
  </r>
  <r>
    <x v="4"/>
    <s v="주사제5ML"/>
    <x v="179"/>
    <x v="72"/>
    <s v="데노간주주사용수 10A (영진약품)"/>
    <x v="186"/>
    <x v="2"/>
    <s v="조제"/>
    <x v="42"/>
    <n v="5000"/>
    <n v="3"/>
    <x v="9"/>
    <x v="186"/>
  </r>
  <r>
    <x v="4"/>
    <s v="주사제5ML"/>
    <x v="179"/>
    <x v="72"/>
    <s v="데노간주주사용수 10A (영진약품)"/>
    <x v="186"/>
    <x v="9"/>
    <s v="세척 및 멸균"/>
    <x v="43"/>
    <n v="5000"/>
    <n v="9"/>
    <x v="9"/>
    <x v="186"/>
  </r>
  <r>
    <x v="4"/>
    <s v="주사제5ML"/>
    <x v="179"/>
    <x v="72"/>
    <s v="데노간주주사용수 10A (영진약품)"/>
    <x v="186"/>
    <x v="10"/>
    <s v="충전"/>
    <x v="44"/>
    <n v="5000"/>
    <n v="7"/>
    <x v="9"/>
    <x v="186"/>
  </r>
  <r>
    <x v="4"/>
    <s v="주사제5ML"/>
    <x v="179"/>
    <x v="72"/>
    <s v="데노간주주사용수 10A (영진약품)"/>
    <x v="186"/>
    <x v="3"/>
    <s v="제품멸균"/>
    <x v="45"/>
    <n v="5000"/>
    <n v="2"/>
    <x v="9"/>
    <x v="186"/>
  </r>
  <r>
    <x v="4"/>
    <s v="주사제5ML"/>
    <x v="179"/>
    <x v="72"/>
    <s v="데노간주주사용수 10A (영진약품)"/>
    <x v="186"/>
    <x v="8"/>
    <s v="이물검사"/>
    <x v="41"/>
    <n v="5000"/>
    <n v="7"/>
    <x v="9"/>
    <x v="186"/>
  </r>
  <r>
    <x v="4"/>
    <s v="주사제5ML"/>
    <x v="180"/>
    <x v="73"/>
    <s v="아이델라주25MG 10A"/>
    <x v="187"/>
    <x v="3"/>
    <s v="제품멸균"/>
    <x v="45"/>
    <n v="8000"/>
    <n v="2"/>
    <x v="10"/>
    <x v="187"/>
  </r>
  <r>
    <x v="4"/>
    <s v="주사제5ML"/>
    <x v="180"/>
    <x v="73"/>
    <s v="아이델라주25MG 10A"/>
    <x v="187"/>
    <x v="8"/>
    <s v="이물검사"/>
    <x v="46"/>
    <n v="8000"/>
    <n v="11"/>
    <x v="10"/>
    <x v="187"/>
  </r>
  <r>
    <x v="4"/>
    <s v="주사제6ML"/>
    <x v="181"/>
    <x v="74"/>
    <s v="뮤테란주600MG 10A (한화제약)"/>
    <x v="188"/>
    <x v="2"/>
    <s v="조제"/>
    <x v="47"/>
    <n v="6000"/>
    <n v="4"/>
    <x v="11"/>
    <x v="188"/>
  </r>
  <r>
    <x v="4"/>
    <s v="주사제6ML"/>
    <x v="182"/>
    <x v="74"/>
    <s v="뮤테란주600MG 10A (한화제약)"/>
    <x v="189"/>
    <x v="2"/>
    <s v="조제"/>
    <x v="47"/>
    <n v="6000"/>
    <n v="4"/>
    <x v="11"/>
    <x v="189"/>
  </r>
  <r>
    <x v="4"/>
    <s v="주사제6ML"/>
    <x v="183"/>
    <x v="74"/>
    <s v="뮤테란주600MG 10A (한화제약)"/>
    <x v="190"/>
    <x v="2"/>
    <s v="조제"/>
    <x v="47"/>
    <n v="6000"/>
    <n v="4"/>
    <x v="11"/>
    <x v="190"/>
  </r>
  <r>
    <x v="4"/>
    <s v="주사제6ML"/>
    <x v="184"/>
    <x v="74"/>
    <s v="뮤테란주600MG 10A (한화제약)"/>
    <x v="191"/>
    <x v="2"/>
    <s v="조제"/>
    <x v="47"/>
    <n v="6000"/>
    <n v="4"/>
    <x v="11"/>
    <x v="191"/>
  </r>
  <r>
    <x v="4"/>
    <s v="주사제6ML"/>
    <x v="185"/>
    <x v="74"/>
    <s v="뮤테란주600MG 10A (한화제약)"/>
    <x v="192"/>
    <x v="2"/>
    <s v="조제"/>
    <x v="47"/>
    <n v="6000"/>
    <n v="4"/>
    <x v="11"/>
    <x v="192"/>
  </r>
  <r>
    <x v="4"/>
    <s v="주사제6ML"/>
    <x v="186"/>
    <x v="74"/>
    <s v="뮤테란주600MG 10A (한화제약)"/>
    <x v="193"/>
    <x v="2"/>
    <s v="조제"/>
    <x v="47"/>
    <n v="6000"/>
    <n v="4"/>
    <x v="11"/>
    <x v="193"/>
  </r>
  <r>
    <x v="4"/>
    <s v="주사제6ML"/>
    <x v="187"/>
    <x v="74"/>
    <s v="뮤테란주600MG 10A (한화제약)"/>
    <x v="194"/>
    <x v="2"/>
    <s v="조제"/>
    <x v="47"/>
    <n v="6000"/>
    <n v="4"/>
    <x v="11"/>
    <x v="194"/>
  </r>
  <r>
    <x v="4"/>
    <s v="주사제6ML"/>
    <x v="181"/>
    <x v="74"/>
    <s v="뮤테란주600MG 10A (한화제약)"/>
    <x v="188"/>
    <x v="9"/>
    <s v="세척 및 멸균"/>
    <x v="48"/>
    <n v="6000"/>
    <n v="12"/>
    <x v="11"/>
    <x v="188"/>
  </r>
  <r>
    <x v="4"/>
    <s v="주사제6ML"/>
    <x v="182"/>
    <x v="74"/>
    <s v="뮤테란주600MG 10A (한화제약)"/>
    <x v="189"/>
    <x v="9"/>
    <s v="세척 및 멸균"/>
    <x v="48"/>
    <n v="6000"/>
    <n v="12"/>
    <x v="11"/>
    <x v="189"/>
  </r>
  <r>
    <x v="4"/>
    <s v="주사제6ML"/>
    <x v="183"/>
    <x v="74"/>
    <s v="뮤테란주600MG 10A (한화제약)"/>
    <x v="190"/>
    <x v="9"/>
    <s v="세척 및 멸균"/>
    <x v="48"/>
    <n v="6000"/>
    <n v="12"/>
    <x v="11"/>
    <x v="190"/>
  </r>
  <r>
    <x v="4"/>
    <s v="주사제6ML"/>
    <x v="184"/>
    <x v="74"/>
    <s v="뮤테란주600MG 10A (한화제약)"/>
    <x v="191"/>
    <x v="9"/>
    <s v="세척 및 멸균"/>
    <x v="48"/>
    <n v="6000"/>
    <n v="12"/>
    <x v="11"/>
    <x v="191"/>
  </r>
  <r>
    <x v="4"/>
    <s v="주사제6ML"/>
    <x v="185"/>
    <x v="74"/>
    <s v="뮤테란주600MG 10A (한화제약)"/>
    <x v="192"/>
    <x v="9"/>
    <s v="세척 및 멸균"/>
    <x v="48"/>
    <n v="6000"/>
    <n v="12"/>
    <x v="11"/>
    <x v="192"/>
  </r>
  <r>
    <x v="4"/>
    <s v="주사제6ML"/>
    <x v="186"/>
    <x v="74"/>
    <s v="뮤테란주600MG 10A (한화제약)"/>
    <x v="193"/>
    <x v="9"/>
    <s v="세척 및 멸균"/>
    <x v="48"/>
    <n v="6000"/>
    <n v="12"/>
    <x v="11"/>
    <x v="193"/>
  </r>
  <r>
    <x v="4"/>
    <s v="주사제6ML"/>
    <x v="187"/>
    <x v="74"/>
    <s v="뮤테란주600MG 10A (한화제약)"/>
    <x v="194"/>
    <x v="9"/>
    <s v="세척 및 멸균"/>
    <x v="48"/>
    <n v="6000"/>
    <n v="12"/>
    <x v="11"/>
    <x v="194"/>
  </r>
  <r>
    <x v="4"/>
    <s v="주사제6ML"/>
    <x v="181"/>
    <x v="74"/>
    <s v="뮤테란주600MG 10A (한화제약)"/>
    <x v="188"/>
    <x v="10"/>
    <s v="충전"/>
    <x v="49"/>
    <n v="6000"/>
    <n v="14"/>
    <x v="11"/>
    <x v="188"/>
  </r>
  <r>
    <x v="4"/>
    <s v="주사제6ML"/>
    <x v="182"/>
    <x v="74"/>
    <s v="뮤테란주600MG 10A (한화제약)"/>
    <x v="189"/>
    <x v="10"/>
    <s v="충전"/>
    <x v="49"/>
    <n v="6000"/>
    <n v="14"/>
    <x v="11"/>
    <x v="189"/>
  </r>
  <r>
    <x v="4"/>
    <s v="주사제6ML"/>
    <x v="183"/>
    <x v="74"/>
    <s v="뮤테란주600MG 10A (한화제약)"/>
    <x v="190"/>
    <x v="10"/>
    <s v="충전"/>
    <x v="49"/>
    <n v="6000"/>
    <n v="14"/>
    <x v="11"/>
    <x v="190"/>
  </r>
  <r>
    <x v="4"/>
    <s v="주사제6ML"/>
    <x v="184"/>
    <x v="74"/>
    <s v="뮤테란주600MG 10A (한화제약)"/>
    <x v="191"/>
    <x v="10"/>
    <s v="충전"/>
    <x v="49"/>
    <n v="6000"/>
    <n v="14"/>
    <x v="11"/>
    <x v="191"/>
  </r>
  <r>
    <x v="4"/>
    <s v="주사제6ML"/>
    <x v="185"/>
    <x v="74"/>
    <s v="뮤테란주600MG 10A (한화제약)"/>
    <x v="192"/>
    <x v="10"/>
    <s v="충전"/>
    <x v="49"/>
    <n v="6000"/>
    <n v="14"/>
    <x v="11"/>
    <x v="192"/>
  </r>
  <r>
    <x v="4"/>
    <s v="주사제6ML"/>
    <x v="186"/>
    <x v="74"/>
    <s v="뮤테란주600MG 10A (한화제약)"/>
    <x v="193"/>
    <x v="10"/>
    <s v="충전"/>
    <x v="49"/>
    <n v="6000"/>
    <n v="14"/>
    <x v="11"/>
    <x v="193"/>
  </r>
  <r>
    <x v="4"/>
    <s v="주사제6ML"/>
    <x v="187"/>
    <x v="74"/>
    <s v="뮤테란주600MG 10A (한화제약)"/>
    <x v="194"/>
    <x v="10"/>
    <s v="충전"/>
    <x v="49"/>
    <n v="6000"/>
    <n v="14"/>
    <x v="11"/>
    <x v="194"/>
  </r>
  <r>
    <x v="4"/>
    <s v="주사제6ML"/>
    <x v="181"/>
    <x v="74"/>
    <s v="뮤테란주600MG 10A (한화제약)"/>
    <x v="188"/>
    <x v="8"/>
    <s v="이물검사"/>
    <x v="41"/>
    <n v="6000"/>
    <n v="11"/>
    <x v="11"/>
    <x v="188"/>
  </r>
  <r>
    <x v="4"/>
    <s v="주사제6ML"/>
    <x v="182"/>
    <x v="74"/>
    <s v="뮤테란주600MG 10A (한화제약)"/>
    <x v="189"/>
    <x v="8"/>
    <s v="이물검사"/>
    <x v="41"/>
    <n v="6000"/>
    <n v="11"/>
    <x v="11"/>
    <x v="189"/>
  </r>
  <r>
    <x v="4"/>
    <s v="주사제6ML"/>
    <x v="183"/>
    <x v="74"/>
    <s v="뮤테란주600MG 10A (한화제약)"/>
    <x v="190"/>
    <x v="8"/>
    <s v="이물검사"/>
    <x v="41"/>
    <n v="6000"/>
    <n v="11"/>
    <x v="11"/>
    <x v="190"/>
  </r>
  <r>
    <x v="4"/>
    <s v="주사제6ML"/>
    <x v="184"/>
    <x v="74"/>
    <s v="뮤테란주600MG 10A (한화제약)"/>
    <x v="191"/>
    <x v="8"/>
    <s v="이물검사"/>
    <x v="41"/>
    <n v="6000"/>
    <n v="11"/>
    <x v="11"/>
    <x v="191"/>
  </r>
  <r>
    <x v="4"/>
    <s v="주사제6ML"/>
    <x v="185"/>
    <x v="74"/>
    <s v="뮤테란주600MG 10A (한화제약)"/>
    <x v="192"/>
    <x v="8"/>
    <s v="이물검사"/>
    <x v="41"/>
    <n v="6000"/>
    <n v="11"/>
    <x v="11"/>
    <x v="192"/>
  </r>
  <r>
    <x v="4"/>
    <s v="주사제6ML"/>
    <x v="186"/>
    <x v="74"/>
    <s v="뮤테란주600MG 10A (한화제약)"/>
    <x v="193"/>
    <x v="8"/>
    <s v="이물검사"/>
    <x v="41"/>
    <n v="6000"/>
    <n v="11"/>
    <x v="11"/>
    <x v="193"/>
  </r>
  <r>
    <x v="4"/>
    <s v="주사제6ML"/>
    <x v="187"/>
    <x v="74"/>
    <s v="뮤테란주600MG 10A (한화제약)"/>
    <x v="194"/>
    <x v="8"/>
    <s v="이물검사"/>
    <x v="41"/>
    <n v="6000"/>
    <n v="11"/>
    <x v="11"/>
    <x v="194"/>
  </r>
  <r>
    <x v="4"/>
    <m/>
    <x v="188"/>
    <x v="75"/>
    <s v="앰플주사제 A라인 메디아필테스트"/>
    <x v="195"/>
    <x v="2"/>
    <s v="조제"/>
    <x v="47"/>
    <n v="20000"/>
    <m/>
    <x v="12"/>
    <x v="195"/>
  </r>
  <r>
    <x v="4"/>
    <m/>
    <x v="188"/>
    <x v="75"/>
    <s v="앰플주사제 A라인 메디아필테스트"/>
    <x v="195"/>
    <x v="9"/>
    <s v="세척 및 멸균"/>
    <x v="48"/>
    <n v="20000"/>
    <m/>
    <x v="12"/>
    <x v="195"/>
  </r>
  <r>
    <x v="4"/>
    <m/>
    <x v="188"/>
    <x v="75"/>
    <s v="앰플주사제 A라인 메디아필테스트"/>
    <x v="195"/>
    <x v="10"/>
    <s v="충전"/>
    <x v="49"/>
    <n v="20000"/>
    <m/>
    <x v="12"/>
    <x v="195"/>
  </r>
  <r>
    <x v="5"/>
    <s v="분말바이알1G"/>
    <x v="161"/>
    <x v="64"/>
    <s v="데노간주1G 10V (영진약품)"/>
    <x v="167"/>
    <x v="7"/>
    <s v="검사"/>
    <x v="50"/>
    <n v="4000"/>
    <n v="5"/>
    <x v="1"/>
    <x v="167"/>
  </r>
  <r>
    <x v="5"/>
    <s v="분말바이알1G"/>
    <x v="161"/>
    <x v="64"/>
    <s v="데노간주1G 10V (영진약품)"/>
    <x v="167"/>
    <x v="0"/>
    <s v="라벨링"/>
    <x v="51"/>
    <n v="4000"/>
    <n v="5"/>
    <x v="1"/>
    <x v="167"/>
  </r>
  <r>
    <x v="5"/>
    <s v="분말바이알1G"/>
    <x v="161"/>
    <x v="64"/>
    <s v="데노간주1G 10V (영진약품)"/>
    <x v="167"/>
    <x v="12"/>
    <s v="카톤"/>
    <x v="52"/>
    <n v="4000"/>
    <n v="7"/>
    <x v="1"/>
    <x v="167"/>
  </r>
  <r>
    <x v="5"/>
    <s v="분말바이알1G"/>
    <x v="162"/>
    <x v="64"/>
    <s v="데노간주1G 10V (영진약품)"/>
    <x v="168"/>
    <x v="7"/>
    <s v="검사"/>
    <x v="50"/>
    <n v="4850"/>
    <n v="6"/>
    <x v="1"/>
    <x v="168"/>
  </r>
  <r>
    <x v="5"/>
    <s v="분말바이알1G"/>
    <x v="162"/>
    <x v="64"/>
    <s v="데노간주1G 10V (영진약품)"/>
    <x v="168"/>
    <x v="0"/>
    <s v="라벨링"/>
    <x v="51"/>
    <n v="4850"/>
    <n v="6"/>
    <x v="1"/>
    <x v="168"/>
  </r>
  <r>
    <x v="5"/>
    <s v="분말바이알1G"/>
    <x v="162"/>
    <x v="64"/>
    <s v="데노간주1G 10V (영진약품)"/>
    <x v="168"/>
    <x v="12"/>
    <s v="카톤"/>
    <x v="52"/>
    <n v="4850"/>
    <n v="7"/>
    <x v="1"/>
    <x v="168"/>
  </r>
  <r>
    <x v="5"/>
    <s v="액상바이알"/>
    <x v="165"/>
    <x v="65"/>
    <s v="셀베인주 10V (제론셀베인)"/>
    <x v="171"/>
    <x v="0"/>
    <s v="라벨링"/>
    <x v="51"/>
    <n v="5000"/>
    <n v="7"/>
    <x v="2"/>
    <x v="171"/>
  </r>
  <r>
    <x v="5"/>
    <s v="액상바이알"/>
    <x v="164"/>
    <x v="65"/>
    <s v="셀베인주 10V (제론셀베인)"/>
    <x v="170"/>
    <x v="0"/>
    <s v="라벨링"/>
    <x v="51"/>
    <n v="5000"/>
    <n v="7"/>
    <x v="2"/>
    <x v="170"/>
  </r>
  <r>
    <x v="5"/>
    <s v="액상바이알"/>
    <x v="163"/>
    <x v="65"/>
    <s v="셀베인주 10V (제론셀베인)"/>
    <x v="169"/>
    <x v="0"/>
    <s v="라벨링"/>
    <x v="51"/>
    <n v="5000"/>
    <n v="7"/>
    <x v="2"/>
    <x v="169"/>
  </r>
  <r>
    <x v="5"/>
    <s v="액상바이알"/>
    <x v="165"/>
    <x v="65"/>
    <s v="셀베인주 10V (제론셀베인)"/>
    <x v="171"/>
    <x v="12"/>
    <s v="카톤"/>
    <x v="52"/>
    <n v="5000"/>
    <n v="6"/>
    <x v="2"/>
    <x v="171"/>
  </r>
  <r>
    <x v="5"/>
    <s v="액상바이알"/>
    <x v="164"/>
    <x v="65"/>
    <s v="셀베인주 10V (제론셀베인)"/>
    <x v="170"/>
    <x v="12"/>
    <s v="카톤"/>
    <x v="52"/>
    <n v="5000"/>
    <n v="6"/>
    <x v="2"/>
    <x v="170"/>
  </r>
  <r>
    <x v="5"/>
    <s v="액상바이알"/>
    <x v="163"/>
    <x v="65"/>
    <s v="셀베인주 10V (제론셀베인)"/>
    <x v="169"/>
    <x v="12"/>
    <s v="카톤"/>
    <x v="52"/>
    <n v="5000"/>
    <n v="6"/>
    <x v="2"/>
    <x v="169"/>
  </r>
  <r>
    <x v="5"/>
    <s v="주사제10ML"/>
    <x v="189"/>
    <x v="66"/>
    <s v="메트몰주 1G/10ML(구주제약) 10A"/>
    <x v="196"/>
    <x v="7"/>
    <s v="기밀도/라벨"/>
    <x v="53"/>
    <n v="4000"/>
    <n v="8"/>
    <x v="3"/>
    <x v="196"/>
  </r>
  <r>
    <x v="5"/>
    <s v="주사제10ML"/>
    <x v="166"/>
    <x v="66"/>
    <s v="메트몰주 1G/10ML(구주제약) 10A"/>
    <x v="172"/>
    <x v="7"/>
    <s v="기밀도/라벨"/>
    <x v="53"/>
    <n v="4000"/>
    <n v="8"/>
    <x v="3"/>
    <x v="172"/>
  </r>
  <r>
    <x v="5"/>
    <s v="주사제10ML"/>
    <x v="189"/>
    <x v="66"/>
    <s v="메트몰주 1G/10ML(구주제약) 10A"/>
    <x v="196"/>
    <x v="0"/>
    <s v="PTP충전"/>
    <x v="54"/>
    <n v="4000"/>
    <n v="9"/>
    <x v="3"/>
    <x v="196"/>
  </r>
  <r>
    <x v="5"/>
    <s v="주사제10ML"/>
    <x v="166"/>
    <x v="66"/>
    <s v="메트몰주 1G/10ML(구주제약) 10A"/>
    <x v="172"/>
    <x v="0"/>
    <s v="PTP충전"/>
    <x v="54"/>
    <n v="4000"/>
    <n v="9"/>
    <x v="3"/>
    <x v="172"/>
  </r>
  <r>
    <x v="5"/>
    <s v="주사제10ML"/>
    <x v="189"/>
    <x v="66"/>
    <s v="메트몰주 1G/10ML(구주제약) 10A"/>
    <x v="196"/>
    <x v="12"/>
    <s v="카톤"/>
    <x v="55"/>
    <n v="4000"/>
    <n v="11"/>
    <x v="3"/>
    <x v="196"/>
  </r>
  <r>
    <x v="5"/>
    <s v="주사제10ML"/>
    <x v="166"/>
    <x v="66"/>
    <s v="메트몰주 1G/10ML(구주제약) 10A"/>
    <x v="172"/>
    <x v="12"/>
    <s v="카톤"/>
    <x v="55"/>
    <n v="4000"/>
    <n v="11"/>
    <x v="3"/>
    <x v="172"/>
  </r>
  <r>
    <x v="5"/>
    <s v="주사제1ML"/>
    <x v="172"/>
    <x v="67"/>
    <s v="트로돈주50MG 50A"/>
    <x v="178"/>
    <x v="7"/>
    <s v="기밀도/라벨"/>
    <x v="56"/>
    <n v="2000"/>
    <n v="13"/>
    <x v="4"/>
    <x v="178"/>
  </r>
  <r>
    <x v="5"/>
    <s v="주사제1ML"/>
    <x v="171"/>
    <x v="67"/>
    <s v="트로돈주50MG 50A"/>
    <x v="177"/>
    <x v="7"/>
    <s v="기밀도/라벨"/>
    <x v="56"/>
    <n v="2000"/>
    <n v="13"/>
    <x v="4"/>
    <x v="177"/>
  </r>
  <r>
    <x v="5"/>
    <s v="주사제1ML"/>
    <x v="167"/>
    <x v="67"/>
    <s v="트로돈주50MG 50A"/>
    <x v="173"/>
    <x v="7"/>
    <s v="기밀도/라벨"/>
    <x v="56"/>
    <n v="2000"/>
    <n v="13"/>
    <x v="4"/>
    <x v="173"/>
  </r>
  <r>
    <x v="5"/>
    <s v="주사제1ML"/>
    <x v="168"/>
    <x v="67"/>
    <s v="트로돈주50MG 50A"/>
    <x v="174"/>
    <x v="7"/>
    <s v="기밀도/라벨"/>
    <x v="56"/>
    <n v="2000"/>
    <n v="13"/>
    <x v="4"/>
    <x v="174"/>
  </r>
  <r>
    <x v="5"/>
    <s v="주사제1ML"/>
    <x v="169"/>
    <x v="67"/>
    <s v="트로돈주50MG 50A"/>
    <x v="175"/>
    <x v="7"/>
    <s v="기밀도/라벨"/>
    <x v="56"/>
    <n v="2000"/>
    <n v="13"/>
    <x v="4"/>
    <x v="175"/>
  </r>
  <r>
    <x v="5"/>
    <s v="주사제1ML"/>
    <x v="170"/>
    <x v="67"/>
    <s v="트로돈주50MG 50A"/>
    <x v="176"/>
    <x v="7"/>
    <s v="기밀도/라벨"/>
    <x v="56"/>
    <n v="2000"/>
    <n v="13"/>
    <x v="4"/>
    <x v="176"/>
  </r>
  <r>
    <x v="5"/>
    <s v="주사제1ML"/>
    <x v="172"/>
    <x v="67"/>
    <s v="트로돈주50MG 50A"/>
    <x v="178"/>
    <x v="7"/>
    <s v="기밀도/라벨"/>
    <x v="56"/>
    <n v="2000"/>
    <n v="11"/>
    <x v="4"/>
    <x v="178"/>
  </r>
  <r>
    <x v="5"/>
    <s v="주사제1ML"/>
    <x v="171"/>
    <x v="67"/>
    <s v="트로돈주50MG 50A"/>
    <x v="177"/>
    <x v="7"/>
    <s v="기밀도/라벨"/>
    <x v="56"/>
    <n v="2000"/>
    <n v="11"/>
    <x v="4"/>
    <x v="177"/>
  </r>
  <r>
    <x v="5"/>
    <s v="주사제1ML"/>
    <x v="167"/>
    <x v="67"/>
    <s v="트로돈주50MG 50A"/>
    <x v="173"/>
    <x v="7"/>
    <s v="기밀도/라벨"/>
    <x v="56"/>
    <n v="2000"/>
    <n v="11"/>
    <x v="4"/>
    <x v="173"/>
  </r>
  <r>
    <x v="5"/>
    <s v="주사제1ML"/>
    <x v="168"/>
    <x v="67"/>
    <s v="트로돈주50MG 50A"/>
    <x v="174"/>
    <x v="7"/>
    <s v="기밀도/라벨"/>
    <x v="56"/>
    <n v="2000"/>
    <n v="11"/>
    <x v="4"/>
    <x v="174"/>
  </r>
  <r>
    <x v="5"/>
    <s v="주사제1ML"/>
    <x v="169"/>
    <x v="67"/>
    <s v="트로돈주50MG 50A"/>
    <x v="175"/>
    <x v="7"/>
    <s v="기밀도/라벨"/>
    <x v="56"/>
    <n v="2000"/>
    <n v="11"/>
    <x v="4"/>
    <x v="175"/>
  </r>
  <r>
    <x v="5"/>
    <s v="주사제1ML"/>
    <x v="170"/>
    <x v="67"/>
    <s v="트로돈주50MG 50A"/>
    <x v="176"/>
    <x v="7"/>
    <s v="기밀도/라벨"/>
    <x v="56"/>
    <n v="2000"/>
    <n v="11"/>
    <x v="4"/>
    <x v="176"/>
  </r>
  <r>
    <x v="5"/>
    <s v="주사제1ML"/>
    <x v="190"/>
    <x v="67"/>
    <s v="트로돈주50MG 50A"/>
    <x v="197"/>
    <x v="0"/>
    <s v="PTP충전"/>
    <x v="57"/>
    <n v="2000"/>
    <n v="10"/>
    <x v="4"/>
    <x v="197"/>
  </r>
  <r>
    <x v="5"/>
    <s v="주사제1ML"/>
    <x v="191"/>
    <x v="67"/>
    <s v="트로돈주50MG 50A"/>
    <x v="198"/>
    <x v="0"/>
    <s v="PTP충전"/>
    <x v="57"/>
    <n v="2000"/>
    <n v="10"/>
    <x v="4"/>
    <x v="198"/>
  </r>
  <r>
    <x v="5"/>
    <s v="주사제1ML"/>
    <x v="192"/>
    <x v="67"/>
    <s v="트로돈주50MG 50A"/>
    <x v="199"/>
    <x v="0"/>
    <s v="PTP충전"/>
    <x v="54"/>
    <n v="2000"/>
    <n v="10"/>
    <x v="4"/>
    <x v="199"/>
  </r>
  <r>
    <x v="5"/>
    <s v="주사제1ML"/>
    <x v="193"/>
    <x v="67"/>
    <s v="트로돈주50MG 50A"/>
    <x v="200"/>
    <x v="0"/>
    <s v="PTP충전"/>
    <x v="54"/>
    <n v="2000"/>
    <n v="10"/>
    <x v="4"/>
    <x v="200"/>
  </r>
  <r>
    <x v="5"/>
    <s v="주사제1ML"/>
    <x v="194"/>
    <x v="67"/>
    <s v="트로돈주50MG 50A"/>
    <x v="201"/>
    <x v="0"/>
    <s v="PTP충전"/>
    <x v="54"/>
    <n v="2000"/>
    <n v="10"/>
    <x v="4"/>
    <x v="201"/>
  </r>
  <r>
    <x v="5"/>
    <s v="주사제1ML"/>
    <x v="172"/>
    <x v="67"/>
    <s v="트로돈주50MG 50A"/>
    <x v="178"/>
    <x v="0"/>
    <s v="PTP충전"/>
    <x v="54"/>
    <n v="2000"/>
    <n v="10"/>
    <x v="4"/>
    <x v="178"/>
  </r>
  <r>
    <x v="5"/>
    <s v="주사제1ML"/>
    <x v="171"/>
    <x v="67"/>
    <s v="트로돈주50MG 50A"/>
    <x v="177"/>
    <x v="0"/>
    <s v="PTP충전"/>
    <x v="54"/>
    <n v="2000"/>
    <n v="10"/>
    <x v="4"/>
    <x v="177"/>
  </r>
  <r>
    <x v="5"/>
    <s v="주사제1ML"/>
    <x v="167"/>
    <x v="67"/>
    <s v="트로돈주50MG 50A"/>
    <x v="173"/>
    <x v="0"/>
    <s v="PTP충전"/>
    <x v="54"/>
    <n v="2000"/>
    <n v="10"/>
    <x v="4"/>
    <x v="173"/>
  </r>
  <r>
    <x v="5"/>
    <s v="주사제1ML"/>
    <x v="168"/>
    <x v="67"/>
    <s v="트로돈주50MG 50A"/>
    <x v="174"/>
    <x v="0"/>
    <s v="PTP충전"/>
    <x v="54"/>
    <n v="2000"/>
    <n v="10"/>
    <x v="4"/>
    <x v="174"/>
  </r>
  <r>
    <x v="5"/>
    <s v="주사제1ML"/>
    <x v="169"/>
    <x v="67"/>
    <s v="트로돈주50MG 50A"/>
    <x v="175"/>
    <x v="0"/>
    <s v="PTP충전"/>
    <x v="54"/>
    <n v="2000"/>
    <n v="10"/>
    <x v="4"/>
    <x v="175"/>
  </r>
  <r>
    <x v="5"/>
    <s v="주사제1ML"/>
    <x v="170"/>
    <x v="67"/>
    <s v="트로돈주50MG 50A"/>
    <x v="176"/>
    <x v="0"/>
    <s v="PTP충전"/>
    <x v="54"/>
    <n v="2000"/>
    <n v="10"/>
    <x v="4"/>
    <x v="176"/>
  </r>
  <r>
    <x v="5"/>
    <s v="주사제1ML"/>
    <x v="190"/>
    <x v="67"/>
    <s v="트로돈주50MG 50A"/>
    <x v="197"/>
    <x v="0"/>
    <s v="PTP충전"/>
    <x v="57"/>
    <n v="2000"/>
    <n v="8"/>
    <x v="4"/>
    <x v="197"/>
  </r>
  <r>
    <x v="5"/>
    <s v="주사제1ML"/>
    <x v="191"/>
    <x v="67"/>
    <s v="트로돈주50MG 50A"/>
    <x v="198"/>
    <x v="0"/>
    <s v="PTP충전"/>
    <x v="57"/>
    <n v="2000"/>
    <n v="8"/>
    <x v="4"/>
    <x v="198"/>
  </r>
  <r>
    <x v="5"/>
    <s v="주사제1ML"/>
    <x v="192"/>
    <x v="67"/>
    <s v="트로돈주50MG 50A"/>
    <x v="199"/>
    <x v="0"/>
    <s v="PTP충전"/>
    <x v="54"/>
    <n v="2000"/>
    <n v="8"/>
    <x v="4"/>
    <x v="199"/>
  </r>
  <r>
    <x v="5"/>
    <s v="주사제1ML"/>
    <x v="193"/>
    <x v="67"/>
    <s v="트로돈주50MG 50A"/>
    <x v="200"/>
    <x v="0"/>
    <s v="PTP충전"/>
    <x v="54"/>
    <n v="2000"/>
    <n v="8"/>
    <x v="4"/>
    <x v="200"/>
  </r>
  <r>
    <x v="5"/>
    <s v="주사제1ML"/>
    <x v="194"/>
    <x v="67"/>
    <s v="트로돈주50MG 50A"/>
    <x v="201"/>
    <x v="0"/>
    <s v="PTP충전"/>
    <x v="54"/>
    <n v="2000"/>
    <n v="8"/>
    <x v="4"/>
    <x v="201"/>
  </r>
  <r>
    <x v="5"/>
    <s v="주사제1ML"/>
    <x v="172"/>
    <x v="67"/>
    <s v="트로돈주50MG 50A"/>
    <x v="178"/>
    <x v="0"/>
    <s v="PTP충전"/>
    <x v="54"/>
    <n v="2000"/>
    <n v="8"/>
    <x v="4"/>
    <x v="178"/>
  </r>
  <r>
    <x v="5"/>
    <s v="주사제1ML"/>
    <x v="171"/>
    <x v="67"/>
    <s v="트로돈주50MG 50A"/>
    <x v="177"/>
    <x v="0"/>
    <s v="PTP충전"/>
    <x v="54"/>
    <n v="2000"/>
    <n v="8"/>
    <x v="4"/>
    <x v="177"/>
  </r>
  <r>
    <x v="5"/>
    <s v="주사제1ML"/>
    <x v="167"/>
    <x v="67"/>
    <s v="트로돈주50MG 50A"/>
    <x v="173"/>
    <x v="0"/>
    <s v="PTP충전"/>
    <x v="54"/>
    <n v="2000"/>
    <n v="8"/>
    <x v="4"/>
    <x v="173"/>
  </r>
  <r>
    <x v="5"/>
    <s v="주사제1ML"/>
    <x v="168"/>
    <x v="67"/>
    <s v="트로돈주50MG 50A"/>
    <x v="174"/>
    <x v="0"/>
    <s v="PTP충전"/>
    <x v="54"/>
    <n v="2000"/>
    <n v="8"/>
    <x v="4"/>
    <x v="174"/>
  </r>
  <r>
    <x v="5"/>
    <s v="주사제1ML"/>
    <x v="169"/>
    <x v="67"/>
    <s v="트로돈주50MG 50A"/>
    <x v="175"/>
    <x v="0"/>
    <s v="PTP충전"/>
    <x v="54"/>
    <n v="2000"/>
    <n v="8"/>
    <x v="4"/>
    <x v="175"/>
  </r>
  <r>
    <x v="5"/>
    <s v="주사제1ML"/>
    <x v="170"/>
    <x v="67"/>
    <s v="트로돈주50MG 50A"/>
    <x v="176"/>
    <x v="0"/>
    <s v="PTP충전"/>
    <x v="54"/>
    <n v="2000"/>
    <n v="8"/>
    <x v="4"/>
    <x v="176"/>
  </r>
  <r>
    <x v="5"/>
    <s v="주사제1ML"/>
    <x v="190"/>
    <x v="67"/>
    <s v="트로돈주50MG 50A"/>
    <x v="197"/>
    <x v="12"/>
    <s v="카톤"/>
    <x v="58"/>
    <n v="2000"/>
    <n v="10"/>
    <x v="4"/>
    <x v="197"/>
  </r>
  <r>
    <x v="5"/>
    <s v="주사제1ML"/>
    <x v="191"/>
    <x v="67"/>
    <s v="트로돈주50MG 50A"/>
    <x v="198"/>
    <x v="12"/>
    <s v="카톤"/>
    <x v="58"/>
    <n v="2000"/>
    <n v="10"/>
    <x v="4"/>
    <x v="198"/>
  </r>
  <r>
    <x v="5"/>
    <s v="주사제1ML"/>
    <x v="192"/>
    <x v="67"/>
    <s v="트로돈주50MG 50A"/>
    <x v="199"/>
    <x v="12"/>
    <s v="카톤"/>
    <x v="55"/>
    <n v="2000"/>
    <n v="10"/>
    <x v="4"/>
    <x v="199"/>
  </r>
  <r>
    <x v="5"/>
    <s v="주사제1ML"/>
    <x v="193"/>
    <x v="67"/>
    <s v="트로돈주50MG 50A"/>
    <x v="200"/>
    <x v="12"/>
    <s v="카톤"/>
    <x v="55"/>
    <n v="2000"/>
    <n v="10"/>
    <x v="4"/>
    <x v="200"/>
  </r>
  <r>
    <x v="5"/>
    <s v="주사제1ML"/>
    <x v="194"/>
    <x v="67"/>
    <s v="트로돈주50MG 50A"/>
    <x v="201"/>
    <x v="12"/>
    <s v="카톤"/>
    <x v="55"/>
    <n v="2000"/>
    <n v="10"/>
    <x v="4"/>
    <x v="201"/>
  </r>
  <r>
    <x v="5"/>
    <s v="주사제1ML"/>
    <x v="172"/>
    <x v="67"/>
    <s v="트로돈주50MG 50A"/>
    <x v="178"/>
    <x v="12"/>
    <s v="카톤"/>
    <x v="55"/>
    <n v="2000"/>
    <n v="10"/>
    <x v="4"/>
    <x v="178"/>
  </r>
  <r>
    <x v="5"/>
    <s v="주사제1ML"/>
    <x v="171"/>
    <x v="67"/>
    <s v="트로돈주50MG 50A"/>
    <x v="177"/>
    <x v="12"/>
    <s v="카톤"/>
    <x v="55"/>
    <n v="2000"/>
    <n v="10"/>
    <x v="4"/>
    <x v="177"/>
  </r>
  <r>
    <x v="5"/>
    <s v="주사제1ML"/>
    <x v="167"/>
    <x v="67"/>
    <s v="트로돈주50MG 50A"/>
    <x v="173"/>
    <x v="12"/>
    <s v="카톤"/>
    <x v="55"/>
    <n v="2000"/>
    <n v="10"/>
    <x v="4"/>
    <x v="173"/>
  </r>
  <r>
    <x v="5"/>
    <s v="주사제1ML"/>
    <x v="168"/>
    <x v="67"/>
    <s v="트로돈주50MG 50A"/>
    <x v="174"/>
    <x v="12"/>
    <s v="카톤"/>
    <x v="55"/>
    <n v="2000"/>
    <n v="10"/>
    <x v="4"/>
    <x v="174"/>
  </r>
  <r>
    <x v="5"/>
    <s v="주사제1ML"/>
    <x v="169"/>
    <x v="67"/>
    <s v="트로돈주50MG 50A"/>
    <x v="175"/>
    <x v="12"/>
    <s v="카톤"/>
    <x v="55"/>
    <n v="2000"/>
    <n v="10"/>
    <x v="4"/>
    <x v="175"/>
  </r>
  <r>
    <x v="5"/>
    <s v="주사제1ML"/>
    <x v="170"/>
    <x v="67"/>
    <s v="트로돈주50MG 50A"/>
    <x v="176"/>
    <x v="12"/>
    <s v="카톤"/>
    <x v="55"/>
    <n v="2000"/>
    <n v="10"/>
    <x v="4"/>
    <x v="176"/>
  </r>
  <r>
    <x v="5"/>
    <s v="주사제1ML"/>
    <x v="190"/>
    <x v="67"/>
    <s v="트로돈주50MG 50A"/>
    <x v="197"/>
    <x v="12"/>
    <s v="카톤"/>
    <x v="58"/>
    <n v="2000"/>
    <n v="8"/>
    <x v="4"/>
    <x v="197"/>
  </r>
  <r>
    <x v="5"/>
    <s v="주사제1ML"/>
    <x v="191"/>
    <x v="67"/>
    <s v="트로돈주50MG 50A"/>
    <x v="198"/>
    <x v="12"/>
    <s v="카톤"/>
    <x v="58"/>
    <n v="2000"/>
    <n v="8"/>
    <x v="4"/>
    <x v="198"/>
  </r>
  <r>
    <x v="5"/>
    <s v="주사제1ML"/>
    <x v="192"/>
    <x v="67"/>
    <s v="트로돈주50MG 50A"/>
    <x v="199"/>
    <x v="12"/>
    <s v="카톤"/>
    <x v="55"/>
    <n v="2000"/>
    <n v="8"/>
    <x v="4"/>
    <x v="199"/>
  </r>
  <r>
    <x v="5"/>
    <s v="주사제1ML"/>
    <x v="193"/>
    <x v="67"/>
    <s v="트로돈주50MG 50A"/>
    <x v="200"/>
    <x v="12"/>
    <s v="카톤"/>
    <x v="55"/>
    <n v="2000"/>
    <n v="8"/>
    <x v="4"/>
    <x v="200"/>
  </r>
  <r>
    <x v="5"/>
    <s v="주사제1ML"/>
    <x v="194"/>
    <x v="67"/>
    <s v="트로돈주50MG 50A"/>
    <x v="201"/>
    <x v="12"/>
    <s v="카톤"/>
    <x v="55"/>
    <n v="2000"/>
    <n v="8"/>
    <x v="4"/>
    <x v="201"/>
  </r>
  <r>
    <x v="5"/>
    <s v="주사제1ML"/>
    <x v="172"/>
    <x v="67"/>
    <s v="트로돈주50MG 50A"/>
    <x v="178"/>
    <x v="12"/>
    <s v="카톤"/>
    <x v="55"/>
    <n v="2000"/>
    <n v="8"/>
    <x v="4"/>
    <x v="178"/>
  </r>
  <r>
    <x v="5"/>
    <s v="주사제1ML"/>
    <x v="171"/>
    <x v="67"/>
    <s v="트로돈주50MG 50A"/>
    <x v="177"/>
    <x v="12"/>
    <s v="카톤"/>
    <x v="55"/>
    <n v="2000"/>
    <n v="8"/>
    <x v="4"/>
    <x v="177"/>
  </r>
  <r>
    <x v="5"/>
    <s v="주사제1ML"/>
    <x v="167"/>
    <x v="67"/>
    <s v="트로돈주50MG 50A"/>
    <x v="173"/>
    <x v="12"/>
    <s v="카톤"/>
    <x v="55"/>
    <n v="2000"/>
    <n v="8"/>
    <x v="4"/>
    <x v="173"/>
  </r>
  <r>
    <x v="5"/>
    <s v="주사제1ML"/>
    <x v="168"/>
    <x v="67"/>
    <s v="트로돈주50MG 50A"/>
    <x v="174"/>
    <x v="12"/>
    <s v="카톤"/>
    <x v="55"/>
    <n v="2000"/>
    <n v="8"/>
    <x v="4"/>
    <x v="174"/>
  </r>
  <r>
    <x v="5"/>
    <s v="주사제1ML"/>
    <x v="169"/>
    <x v="67"/>
    <s v="트로돈주50MG 50A"/>
    <x v="175"/>
    <x v="12"/>
    <s v="카톤"/>
    <x v="55"/>
    <n v="2000"/>
    <n v="8"/>
    <x v="4"/>
    <x v="175"/>
  </r>
  <r>
    <x v="5"/>
    <s v="주사제1ML"/>
    <x v="170"/>
    <x v="67"/>
    <s v="트로돈주50MG 50A"/>
    <x v="176"/>
    <x v="12"/>
    <s v="카톤"/>
    <x v="55"/>
    <n v="2000"/>
    <n v="8"/>
    <x v="4"/>
    <x v="176"/>
  </r>
  <r>
    <x v="5"/>
    <s v="주사제2ML"/>
    <x v="195"/>
    <x v="68"/>
    <s v="제이비피플라몬주 10A (파마리서치)"/>
    <x v="202"/>
    <x v="7"/>
    <s v="기밀도/라벨"/>
    <x v="53"/>
    <n v="6860"/>
    <n v="8"/>
    <x v="5"/>
    <x v="202"/>
  </r>
  <r>
    <x v="5"/>
    <s v="주사제2ML"/>
    <x v="173"/>
    <x v="68"/>
    <s v="제이비피플라몬주 10A (파마리서치)"/>
    <x v="179"/>
    <x v="7"/>
    <s v="기밀도/라벨"/>
    <x v="53"/>
    <n v="7041"/>
    <n v="8"/>
    <x v="5"/>
    <x v="179"/>
  </r>
  <r>
    <x v="5"/>
    <s v="주사제2ML"/>
    <x v="195"/>
    <x v="68"/>
    <s v="제이비피플라몬주 10A (파마리서치)"/>
    <x v="202"/>
    <x v="0"/>
    <s v="PTP충전"/>
    <x v="54"/>
    <n v="6860"/>
    <n v="8"/>
    <x v="5"/>
    <x v="202"/>
  </r>
  <r>
    <x v="5"/>
    <s v="주사제2ML"/>
    <x v="173"/>
    <x v="68"/>
    <s v="제이비피플라몬주 10A (파마리서치)"/>
    <x v="179"/>
    <x v="0"/>
    <s v="PTP충전"/>
    <x v="54"/>
    <n v="7041"/>
    <n v="8"/>
    <x v="5"/>
    <x v="179"/>
  </r>
  <r>
    <x v="5"/>
    <s v="주사제2ML"/>
    <x v="195"/>
    <x v="68"/>
    <s v="제이비피플라몬주 10A (파마리서치)"/>
    <x v="202"/>
    <x v="11"/>
    <s v="수동포장"/>
    <x v="59"/>
    <n v="6860"/>
    <n v="16"/>
    <x v="5"/>
    <x v="202"/>
  </r>
  <r>
    <x v="5"/>
    <s v="주사제2ML"/>
    <x v="173"/>
    <x v="68"/>
    <s v="제이비피플라몬주 10A (파마리서치)"/>
    <x v="179"/>
    <x v="11"/>
    <s v="수동포장"/>
    <x v="59"/>
    <n v="7041"/>
    <n v="16"/>
    <x v="5"/>
    <x v="179"/>
  </r>
  <r>
    <x v="5"/>
    <s v="주사제2ML"/>
    <x v="196"/>
    <x v="69"/>
    <s v="에취투주200MG 50A (중외제약)"/>
    <x v="203"/>
    <x v="7"/>
    <s v="기밀도/라벨"/>
    <x v="53"/>
    <n v="4000"/>
    <n v="20"/>
    <x v="6"/>
    <x v="203"/>
  </r>
  <r>
    <x v="5"/>
    <s v="주사제2ML"/>
    <x v="197"/>
    <x v="69"/>
    <s v="에취투주200MG 50A (중외제약)"/>
    <x v="204"/>
    <x v="7"/>
    <s v="기밀도/라벨"/>
    <x v="53"/>
    <n v="4000"/>
    <n v="20"/>
    <x v="6"/>
    <x v="204"/>
  </r>
  <r>
    <x v="5"/>
    <s v="주사제2ML"/>
    <x v="174"/>
    <x v="69"/>
    <s v="에취투주200MG 50A (중외제약)"/>
    <x v="180"/>
    <x v="7"/>
    <s v="기밀도/라벨"/>
    <x v="53"/>
    <n v="4000"/>
    <n v="20"/>
    <x v="6"/>
    <x v="180"/>
  </r>
  <r>
    <x v="5"/>
    <s v="주사제2ML"/>
    <x v="175"/>
    <x v="69"/>
    <s v="에취투주200MG 50A (중외제약)"/>
    <x v="181"/>
    <x v="7"/>
    <s v="기밀도/라벨"/>
    <x v="53"/>
    <n v="4000"/>
    <n v="20"/>
    <x v="6"/>
    <x v="181"/>
  </r>
  <r>
    <x v="5"/>
    <s v="주사제2ML"/>
    <x v="176"/>
    <x v="69"/>
    <s v="에취투주200MG 50A (중외제약)"/>
    <x v="182"/>
    <x v="7"/>
    <s v="기밀도/라벨"/>
    <x v="53"/>
    <n v="4000"/>
    <n v="20"/>
    <x v="6"/>
    <x v="182"/>
  </r>
  <r>
    <x v="5"/>
    <s v="주사제2ML"/>
    <x v="196"/>
    <x v="69"/>
    <s v="에취투주200MG 50A (중외제약)"/>
    <x v="203"/>
    <x v="0"/>
    <s v="PTP충전"/>
    <x v="54"/>
    <n v="4000"/>
    <n v="17"/>
    <x v="6"/>
    <x v="203"/>
  </r>
  <r>
    <x v="5"/>
    <s v="주사제2ML"/>
    <x v="197"/>
    <x v="69"/>
    <s v="에취투주200MG 50A (중외제약)"/>
    <x v="204"/>
    <x v="0"/>
    <s v="PTP충전"/>
    <x v="54"/>
    <n v="4000"/>
    <n v="17"/>
    <x v="6"/>
    <x v="204"/>
  </r>
  <r>
    <x v="5"/>
    <s v="주사제2ML"/>
    <x v="174"/>
    <x v="69"/>
    <s v="에취투주200MG 50A (중외제약)"/>
    <x v="180"/>
    <x v="0"/>
    <s v="PTP충전"/>
    <x v="54"/>
    <n v="4000"/>
    <n v="17"/>
    <x v="6"/>
    <x v="180"/>
  </r>
  <r>
    <x v="5"/>
    <s v="주사제2ML"/>
    <x v="175"/>
    <x v="69"/>
    <s v="에취투주200MG 50A (중외제약)"/>
    <x v="181"/>
    <x v="0"/>
    <s v="PTP충전"/>
    <x v="54"/>
    <n v="4000"/>
    <n v="17"/>
    <x v="6"/>
    <x v="181"/>
  </r>
  <r>
    <x v="5"/>
    <s v="주사제2ML"/>
    <x v="176"/>
    <x v="69"/>
    <s v="에취투주200MG 50A (중외제약)"/>
    <x v="182"/>
    <x v="0"/>
    <s v="PTP충전"/>
    <x v="54"/>
    <n v="4000"/>
    <n v="17"/>
    <x v="6"/>
    <x v="182"/>
  </r>
  <r>
    <x v="5"/>
    <s v="주사제2ML"/>
    <x v="196"/>
    <x v="69"/>
    <s v="에취투주200MG 50A (중외제약)"/>
    <x v="203"/>
    <x v="12"/>
    <s v="카톤"/>
    <x v="55"/>
    <n v="4000"/>
    <n v="17"/>
    <x v="6"/>
    <x v="203"/>
  </r>
  <r>
    <x v="5"/>
    <s v="주사제2ML"/>
    <x v="197"/>
    <x v="69"/>
    <s v="에취투주200MG 50A (중외제약)"/>
    <x v="204"/>
    <x v="12"/>
    <s v="카톤"/>
    <x v="55"/>
    <n v="4000"/>
    <n v="17"/>
    <x v="6"/>
    <x v="204"/>
  </r>
  <r>
    <x v="5"/>
    <s v="주사제2ML"/>
    <x v="174"/>
    <x v="69"/>
    <s v="에취투주200MG 50A (중외제약)"/>
    <x v="180"/>
    <x v="12"/>
    <s v="카톤"/>
    <x v="55"/>
    <n v="4000"/>
    <n v="17"/>
    <x v="6"/>
    <x v="180"/>
  </r>
  <r>
    <x v="5"/>
    <s v="주사제2ML"/>
    <x v="175"/>
    <x v="69"/>
    <s v="에취투주200MG 50A (중외제약)"/>
    <x v="181"/>
    <x v="12"/>
    <s v="카톤"/>
    <x v="55"/>
    <n v="4000"/>
    <n v="17"/>
    <x v="6"/>
    <x v="181"/>
  </r>
  <r>
    <x v="5"/>
    <s v="주사제2ML"/>
    <x v="176"/>
    <x v="69"/>
    <s v="에취투주200MG 50A (중외제약)"/>
    <x v="182"/>
    <x v="12"/>
    <s v="카톤"/>
    <x v="55"/>
    <n v="4000"/>
    <n v="17"/>
    <x v="6"/>
    <x v="182"/>
  </r>
  <r>
    <x v="5"/>
    <s v="주사제2ML"/>
    <x v="177"/>
    <x v="70"/>
    <s v="프레디솔주125MG 1A (이연제약)"/>
    <x v="183"/>
    <x v="7"/>
    <s v="기밀도/라벨"/>
    <x v="53"/>
    <n v="76000"/>
    <n v="8"/>
    <x v="7"/>
    <x v="183"/>
  </r>
  <r>
    <x v="5"/>
    <s v="주사제2ML"/>
    <x v="177"/>
    <x v="70"/>
    <s v="프레디솔주125MG 1A (이연제약)"/>
    <x v="183"/>
    <x v="0"/>
    <s v="PTP충전"/>
    <x v="54"/>
    <n v="76000"/>
    <n v="8"/>
    <x v="7"/>
    <x v="183"/>
  </r>
  <r>
    <x v="5"/>
    <s v="주사제5ML"/>
    <x v="178"/>
    <x v="71"/>
    <s v="라보파주50MG 10A (중외제약)"/>
    <x v="184"/>
    <x v="7"/>
    <s v="기밀도/라벨"/>
    <x v="53"/>
    <n v="4000"/>
    <n v="6"/>
    <x v="8"/>
    <x v="184"/>
  </r>
  <r>
    <x v="5"/>
    <s v="주사제5ML"/>
    <x v="152"/>
    <x v="71"/>
    <s v="라보파주50MG 10A (중외제약)"/>
    <x v="185"/>
    <x v="7"/>
    <s v="기밀도/라벨"/>
    <x v="53"/>
    <n v="4000"/>
    <n v="6"/>
    <x v="8"/>
    <x v="185"/>
  </r>
  <r>
    <x v="5"/>
    <s v="주사제5ML"/>
    <x v="178"/>
    <x v="71"/>
    <s v="라보파주50MG 10A (중외제약)"/>
    <x v="184"/>
    <x v="0"/>
    <s v="PTP충전"/>
    <x v="54"/>
    <n v="4000"/>
    <n v="7"/>
    <x v="8"/>
    <x v="184"/>
  </r>
  <r>
    <x v="5"/>
    <s v="주사제5ML"/>
    <x v="152"/>
    <x v="71"/>
    <s v="라보파주50MG 10A (중외제약)"/>
    <x v="185"/>
    <x v="0"/>
    <s v="PTP충전"/>
    <x v="54"/>
    <n v="4000"/>
    <n v="7"/>
    <x v="8"/>
    <x v="185"/>
  </r>
  <r>
    <x v="5"/>
    <s v="주사제5ML"/>
    <x v="178"/>
    <x v="71"/>
    <s v="라보파주50MG 10A (중외제약)"/>
    <x v="184"/>
    <x v="12"/>
    <s v="카톤"/>
    <x v="55"/>
    <n v="4000"/>
    <n v="6"/>
    <x v="8"/>
    <x v="184"/>
  </r>
  <r>
    <x v="5"/>
    <s v="주사제5ML"/>
    <x v="152"/>
    <x v="71"/>
    <s v="라보파주50MG 10A (중외제약)"/>
    <x v="185"/>
    <x v="12"/>
    <s v="카톤"/>
    <x v="55"/>
    <n v="4000"/>
    <n v="6"/>
    <x v="8"/>
    <x v="185"/>
  </r>
  <r>
    <x v="5"/>
    <s v="주사제5ML"/>
    <x v="179"/>
    <x v="72"/>
    <s v="데노간주주사용수 10A (영진약품)"/>
    <x v="186"/>
    <x v="7"/>
    <s v="기밀도/라벨"/>
    <x v="56"/>
    <n v="5000"/>
    <n v="7"/>
    <x v="9"/>
    <x v="186"/>
  </r>
  <r>
    <x v="5"/>
    <s v="주사제5ML"/>
    <x v="179"/>
    <x v="72"/>
    <s v="데노간주주사용수 10A (영진약품)"/>
    <x v="186"/>
    <x v="0"/>
    <s v="PTP충전"/>
    <x v="57"/>
    <n v="5000"/>
    <n v="7"/>
    <x v="9"/>
    <x v="186"/>
  </r>
  <r>
    <x v="5"/>
    <s v="주사제5ML"/>
    <x v="179"/>
    <x v="72"/>
    <s v="데노간주주사용수 10A (영진약품)"/>
    <x v="186"/>
    <x v="12"/>
    <s v="카톤"/>
    <x v="58"/>
    <n v="5000"/>
    <n v="7"/>
    <x v="9"/>
    <x v="186"/>
  </r>
  <r>
    <x v="5"/>
    <s v="주사제5ML"/>
    <x v="180"/>
    <x v="73"/>
    <s v="아이델라주25MG 10A"/>
    <x v="187"/>
    <x v="7"/>
    <s v="기밀도/라벨"/>
    <x v="53"/>
    <n v="8000"/>
    <n v="10"/>
    <x v="10"/>
    <x v="187"/>
  </r>
  <r>
    <x v="5"/>
    <s v="주사제5ML"/>
    <x v="180"/>
    <x v="73"/>
    <s v="아이델라주25MG 10A"/>
    <x v="187"/>
    <x v="0"/>
    <s v="PTP충전"/>
    <x v="54"/>
    <n v="8000"/>
    <n v="11"/>
    <x v="10"/>
    <x v="187"/>
  </r>
  <r>
    <x v="5"/>
    <s v="주사제5ML"/>
    <x v="180"/>
    <x v="73"/>
    <s v="아이델라주25MG 10A"/>
    <x v="187"/>
    <x v="12"/>
    <s v="카톤"/>
    <x v="55"/>
    <n v="8000"/>
    <n v="11"/>
    <x v="10"/>
    <x v="187"/>
  </r>
  <r>
    <x v="5"/>
    <s v="주사제6ML"/>
    <x v="181"/>
    <x v="74"/>
    <s v="뮤테란주600MG 10A (한화제약)"/>
    <x v="188"/>
    <x v="7"/>
    <s v="기밀도/라벨"/>
    <x v="53"/>
    <n v="6000"/>
    <n v="9"/>
    <x v="11"/>
    <x v="188"/>
  </r>
  <r>
    <x v="5"/>
    <s v="주사제6ML"/>
    <x v="182"/>
    <x v="74"/>
    <s v="뮤테란주600MG 10A (한화제약)"/>
    <x v="189"/>
    <x v="7"/>
    <s v="기밀도/라벨"/>
    <x v="53"/>
    <n v="6000"/>
    <n v="9"/>
    <x v="11"/>
    <x v="189"/>
  </r>
  <r>
    <x v="5"/>
    <s v="주사제6ML"/>
    <x v="183"/>
    <x v="74"/>
    <s v="뮤테란주600MG 10A (한화제약)"/>
    <x v="190"/>
    <x v="7"/>
    <s v="기밀도/라벨"/>
    <x v="53"/>
    <n v="6000"/>
    <n v="9"/>
    <x v="11"/>
    <x v="190"/>
  </r>
  <r>
    <x v="5"/>
    <s v="주사제6ML"/>
    <x v="184"/>
    <x v="74"/>
    <s v="뮤테란주600MG 10A (한화제약)"/>
    <x v="191"/>
    <x v="7"/>
    <s v="기밀도/라벨"/>
    <x v="53"/>
    <n v="6000"/>
    <n v="9"/>
    <x v="11"/>
    <x v="191"/>
  </r>
  <r>
    <x v="5"/>
    <s v="주사제6ML"/>
    <x v="185"/>
    <x v="74"/>
    <s v="뮤테란주600MG 10A (한화제약)"/>
    <x v="192"/>
    <x v="7"/>
    <s v="기밀도/라벨"/>
    <x v="53"/>
    <n v="6000"/>
    <n v="9"/>
    <x v="11"/>
    <x v="192"/>
  </r>
  <r>
    <x v="5"/>
    <s v="주사제6ML"/>
    <x v="186"/>
    <x v="74"/>
    <s v="뮤테란주600MG 10A (한화제약)"/>
    <x v="193"/>
    <x v="7"/>
    <s v="기밀도/라벨"/>
    <x v="53"/>
    <n v="6000"/>
    <n v="9"/>
    <x v="11"/>
    <x v="193"/>
  </r>
  <r>
    <x v="5"/>
    <s v="주사제6ML"/>
    <x v="187"/>
    <x v="74"/>
    <s v="뮤테란주600MG 10A (한화제약)"/>
    <x v="194"/>
    <x v="7"/>
    <s v="기밀도/라벨"/>
    <x v="53"/>
    <n v="6000"/>
    <n v="9"/>
    <x v="11"/>
    <x v="194"/>
  </r>
  <r>
    <x v="5"/>
    <s v="주사제6ML"/>
    <x v="181"/>
    <x v="74"/>
    <s v="뮤테란주600MG 10A (한화제약)"/>
    <x v="188"/>
    <x v="0"/>
    <s v="PTP충전"/>
    <x v="54"/>
    <n v="6000"/>
    <n v="10"/>
    <x v="11"/>
    <x v="188"/>
  </r>
  <r>
    <x v="5"/>
    <s v="주사제6ML"/>
    <x v="182"/>
    <x v="74"/>
    <s v="뮤테란주600MG 10A (한화제약)"/>
    <x v="189"/>
    <x v="0"/>
    <s v="PTP충전"/>
    <x v="54"/>
    <n v="6000"/>
    <n v="10"/>
    <x v="11"/>
    <x v="189"/>
  </r>
  <r>
    <x v="5"/>
    <s v="주사제6ML"/>
    <x v="183"/>
    <x v="74"/>
    <s v="뮤테란주600MG 10A (한화제약)"/>
    <x v="190"/>
    <x v="0"/>
    <s v="PTP충전"/>
    <x v="54"/>
    <n v="6000"/>
    <n v="10"/>
    <x v="11"/>
    <x v="190"/>
  </r>
  <r>
    <x v="5"/>
    <s v="주사제6ML"/>
    <x v="184"/>
    <x v="74"/>
    <s v="뮤테란주600MG 10A (한화제약)"/>
    <x v="191"/>
    <x v="0"/>
    <s v="PTP충전"/>
    <x v="54"/>
    <n v="6000"/>
    <n v="10"/>
    <x v="11"/>
    <x v="191"/>
  </r>
  <r>
    <x v="5"/>
    <s v="주사제6ML"/>
    <x v="185"/>
    <x v="74"/>
    <s v="뮤테란주600MG 10A (한화제약)"/>
    <x v="192"/>
    <x v="0"/>
    <s v="PTP충전"/>
    <x v="54"/>
    <n v="6000"/>
    <n v="10"/>
    <x v="11"/>
    <x v="192"/>
  </r>
  <r>
    <x v="5"/>
    <s v="주사제6ML"/>
    <x v="186"/>
    <x v="74"/>
    <s v="뮤테란주600MG 10A (한화제약)"/>
    <x v="193"/>
    <x v="0"/>
    <s v="PTP충전"/>
    <x v="54"/>
    <n v="6000"/>
    <n v="10"/>
    <x v="11"/>
    <x v="193"/>
  </r>
  <r>
    <x v="5"/>
    <s v="주사제6ML"/>
    <x v="187"/>
    <x v="74"/>
    <s v="뮤테란주600MG 10A (한화제약)"/>
    <x v="194"/>
    <x v="0"/>
    <s v="PTP충전"/>
    <x v="54"/>
    <n v="6000"/>
    <n v="10"/>
    <x v="11"/>
    <x v="194"/>
  </r>
  <r>
    <x v="5"/>
    <s v="주사제6ML"/>
    <x v="181"/>
    <x v="74"/>
    <s v="뮤테란주600MG 10A (한화제약)"/>
    <x v="188"/>
    <x v="12"/>
    <s v="카톤"/>
    <x v="55"/>
    <n v="6000"/>
    <n v="10"/>
    <x v="11"/>
    <x v="188"/>
  </r>
  <r>
    <x v="5"/>
    <s v="주사제6ML"/>
    <x v="182"/>
    <x v="74"/>
    <s v="뮤테란주600MG 10A (한화제약)"/>
    <x v="189"/>
    <x v="12"/>
    <s v="카톤"/>
    <x v="55"/>
    <n v="6000"/>
    <n v="10"/>
    <x v="11"/>
    <x v="189"/>
  </r>
  <r>
    <x v="5"/>
    <s v="주사제6ML"/>
    <x v="183"/>
    <x v="74"/>
    <s v="뮤테란주600MG 10A (한화제약)"/>
    <x v="190"/>
    <x v="12"/>
    <s v="카톤"/>
    <x v="55"/>
    <n v="6000"/>
    <n v="10"/>
    <x v="11"/>
    <x v="190"/>
  </r>
  <r>
    <x v="5"/>
    <s v="주사제6ML"/>
    <x v="184"/>
    <x v="74"/>
    <s v="뮤테란주600MG 10A (한화제약)"/>
    <x v="191"/>
    <x v="12"/>
    <s v="카톤"/>
    <x v="55"/>
    <n v="6000"/>
    <n v="10"/>
    <x v="11"/>
    <x v="191"/>
  </r>
  <r>
    <x v="5"/>
    <s v="주사제6ML"/>
    <x v="185"/>
    <x v="74"/>
    <s v="뮤테란주600MG 10A (한화제약)"/>
    <x v="192"/>
    <x v="12"/>
    <s v="카톤"/>
    <x v="55"/>
    <n v="6000"/>
    <n v="10"/>
    <x v="11"/>
    <x v="192"/>
  </r>
  <r>
    <x v="5"/>
    <s v="주사제6ML"/>
    <x v="186"/>
    <x v="74"/>
    <s v="뮤테란주600MG 10A (한화제약)"/>
    <x v="193"/>
    <x v="12"/>
    <s v="카톤"/>
    <x v="55"/>
    <n v="6000"/>
    <n v="10"/>
    <x v="11"/>
    <x v="193"/>
  </r>
  <r>
    <x v="5"/>
    <s v="주사제6ML"/>
    <x v="187"/>
    <x v="74"/>
    <s v="뮤테란주600MG 10A (한화제약)"/>
    <x v="194"/>
    <x v="12"/>
    <s v="카톤"/>
    <x v="55"/>
    <n v="6000"/>
    <n v="10"/>
    <x v="11"/>
    <x v="194"/>
  </r>
  <r>
    <x v="5"/>
    <s v="아주아미카신주500MG"/>
    <x v="198"/>
    <x v="76"/>
    <s v="아주아미카신주500mg 10A (베트남)"/>
    <x v="205"/>
    <x v="7"/>
    <s v="기밀도/라벨"/>
    <x v="56"/>
    <n v="6000"/>
    <m/>
    <x v="13"/>
    <x v="205"/>
  </r>
  <r>
    <x v="5"/>
    <s v="주사제10ML"/>
    <x v="199"/>
    <x v="77"/>
    <s v="헤파멜즈인퓨전주5G 10A (한화제약)"/>
    <x v="206"/>
    <x v="7"/>
    <s v="기밀도/라벨"/>
    <x v="53"/>
    <n v="4000"/>
    <n v="8"/>
    <x v="14"/>
    <x v="206"/>
  </r>
  <r>
    <x v="5"/>
    <s v="주사제10ML"/>
    <x v="153"/>
    <x v="77"/>
    <s v="헤파멜즈인퓨전주5G 10A (한화제약)"/>
    <x v="207"/>
    <x v="7"/>
    <s v="기밀도/라벨"/>
    <x v="53"/>
    <n v="4000"/>
    <n v="8"/>
    <x v="14"/>
    <x v="207"/>
  </r>
  <r>
    <x v="5"/>
    <s v="주사제10ML"/>
    <x v="154"/>
    <x v="77"/>
    <s v="헤파멜즈인퓨전주5G 10A (한화제약)"/>
    <x v="208"/>
    <x v="7"/>
    <s v="기밀도/라벨"/>
    <x v="53"/>
    <n v="4000"/>
    <n v="8"/>
    <x v="14"/>
    <x v="208"/>
  </r>
  <r>
    <x v="5"/>
    <s v="주사제10ML"/>
    <x v="47"/>
    <x v="77"/>
    <s v="헤파멜즈인퓨전주5G 10A (한화제약)"/>
    <x v="209"/>
    <x v="0"/>
    <s v="PTP충전"/>
    <x v="54"/>
    <n v="4000"/>
    <n v="8"/>
    <x v="14"/>
    <x v="209"/>
  </r>
  <r>
    <x v="5"/>
    <s v="주사제10ML"/>
    <x v="44"/>
    <x v="77"/>
    <s v="헤파멜즈인퓨전주5G 10A (한화제약)"/>
    <x v="210"/>
    <x v="0"/>
    <s v="PTP충전"/>
    <x v="54"/>
    <n v="4000"/>
    <n v="8"/>
    <x v="14"/>
    <x v="210"/>
  </r>
  <r>
    <x v="5"/>
    <s v="주사제10ML"/>
    <x v="200"/>
    <x v="77"/>
    <s v="헤파멜즈인퓨전주5G 10A (한화제약)"/>
    <x v="211"/>
    <x v="0"/>
    <s v="PTP충전"/>
    <x v="54"/>
    <n v="4000"/>
    <n v="8"/>
    <x v="14"/>
    <x v="211"/>
  </r>
  <r>
    <x v="5"/>
    <s v="주사제10ML"/>
    <x v="199"/>
    <x v="77"/>
    <s v="헤파멜즈인퓨전주5G 10A (한화제약)"/>
    <x v="206"/>
    <x v="0"/>
    <s v="PTP충전"/>
    <x v="54"/>
    <n v="4000"/>
    <n v="8"/>
    <x v="14"/>
    <x v="206"/>
  </r>
  <r>
    <x v="5"/>
    <s v="주사제10ML"/>
    <x v="153"/>
    <x v="77"/>
    <s v="헤파멜즈인퓨전주5G 10A (한화제약)"/>
    <x v="207"/>
    <x v="0"/>
    <s v="PTP충전"/>
    <x v="54"/>
    <n v="4000"/>
    <n v="8"/>
    <x v="14"/>
    <x v="207"/>
  </r>
  <r>
    <x v="5"/>
    <s v="주사제10ML"/>
    <x v="154"/>
    <x v="77"/>
    <s v="헤파멜즈인퓨전주5G 10A (한화제약)"/>
    <x v="208"/>
    <x v="0"/>
    <s v="PTP충전"/>
    <x v="54"/>
    <n v="4000"/>
    <n v="8"/>
    <x v="14"/>
    <x v="208"/>
  </r>
  <r>
    <x v="5"/>
    <s v="주사제10ML"/>
    <x v="47"/>
    <x v="77"/>
    <s v="헤파멜즈인퓨전주5G 10A (한화제약)"/>
    <x v="209"/>
    <x v="12"/>
    <s v="카톤"/>
    <x v="55"/>
    <n v="4000"/>
    <n v="11"/>
    <x v="14"/>
    <x v="209"/>
  </r>
  <r>
    <x v="5"/>
    <s v="주사제10ML"/>
    <x v="44"/>
    <x v="77"/>
    <s v="헤파멜즈인퓨전주5G 10A (한화제약)"/>
    <x v="210"/>
    <x v="12"/>
    <s v="카톤"/>
    <x v="55"/>
    <n v="4000"/>
    <n v="11"/>
    <x v="14"/>
    <x v="210"/>
  </r>
  <r>
    <x v="5"/>
    <s v="주사제10ML"/>
    <x v="200"/>
    <x v="77"/>
    <s v="헤파멜즈인퓨전주5G 10A (한화제약)"/>
    <x v="211"/>
    <x v="12"/>
    <s v="카톤"/>
    <x v="55"/>
    <n v="4000"/>
    <n v="11"/>
    <x v="14"/>
    <x v="211"/>
  </r>
  <r>
    <x v="5"/>
    <s v="주사제10ML"/>
    <x v="199"/>
    <x v="77"/>
    <s v="헤파멜즈인퓨전주5G 10A (한화제약)"/>
    <x v="206"/>
    <x v="12"/>
    <s v="카톤"/>
    <x v="55"/>
    <n v="4000"/>
    <n v="11"/>
    <x v="14"/>
    <x v="206"/>
  </r>
  <r>
    <x v="5"/>
    <s v="주사제10ML"/>
    <x v="153"/>
    <x v="77"/>
    <s v="헤파멜즈인퓨전주5G 10A (한화제약)"/>
    <x v="207"/>
    <x v="12"/>
    <s v="카톤"/>
    <x v="55"/>
    <n v="4000"/>
    <n v="11"/>
    <x v="14"/>
    <x v="207"/>
  </r>
  <r>
    <x v="5"/>
    <s v="주사제10ML"/>
    <x v="154"/>
    <x v="77"/>
    <s v="헤파멜즈인퓨전주5G 10A (한화제약)"/>
    <x v="208"/>
    <x v="12"/>
    <s v="카톤"/>
    <x v="55"/>
    <n v="4000"/>
    <n v="11"/>
    <x v="14"/>
    <x v="208"/>
  </r>
  <r>
    <x v="5"/>
    <s v="주사제2ML"/>
    <x v="201"/>
    <x v="78"/>
    <s v="메조나카주 50A (알보젠코리아)"/>
    <x v="212"/>
    <x v="0"/>
    <s v="PTP충전"/>
    <x v="57"/>
    <n v="2000"/>
    <n v="10"/>
    <x v="15"/>
    <x v="212"/>
  </r>
  <r>
    <x v="5"/>
    <s v="주사제2ML"/>
    <x v="201"/>
    <x v="78"/>
    <s v="메조나카주 50A (알보젠코리아)"/>
    <x v="212"/>
    <x v="12"/>
    <s v="카톤"/>
    <x v="58"/>
    <n v="2000"/>
    <n v="9"/>
    <x v="15"/>
    <x v="212"/>
  </r>
  <r>
    <x v="5"/>
    <s v="주사제2ML"/>
    <x v="202"/>
    <x v="79"/>
    <s v="필로스주 10A (아모스팜)"/>
    <x v="213"/>
    <x v="0"/>
    <s v="PTP충전"/>
    <x v="57"/>
    <n v="4000"/>
    <n v="6"/>
    <x v="16"/>
    <x v="213"/>
  </r>
  <r>
    <x v="5"/>
    <s v="주사제2ML"/>
    <x v="203"/>
    <x v="79"/>
    <s v="필로스주 10A (아모스팜)"/>
    <x v="214"/>
    <x v="0"/>
    <s v="PTP충전"/>
    <x v="57"/>
    <n v="4000"/>
    <n v="6"/>
    <x v="16"/>
    <x v="214"/>
  </r>
  <r>
    <x v="5"/>
    <s v="주사제2ML"/>
    <x v="204"/>
    <x v="79"/>
    <s v="필로스주 10A (아모스팜)"/>
    <x v="215"/>
    <x v="0"/>
    <s v="PTP충전"/>
    <x v="57"/>
    <n v="4000"/>
    <n v="6"/>
    <x v="16"/>
    <x v="215"/>
  </r>
  <r>
    <x v="5"/>
    <s v="주사제2ML"/>
    <x v="202"/>
    <x v="79"/>
    <s v="필로스주 10A (아모스팜)"/>
    <x v="213"/>
    <x v="12"/>
    <s v="카톤"/>
    <x v="58"/>
    <n v="4000"/>
    <n v="5"/>
    <x v="16"/>
    <x v="213"/>
  </r>
  <r>
    <x v="5"/>
    <s v="주사제2ML"/>
    <x v="203"/>
    <x v="79"/>
    <s v="필로스주 10A (아모스팜)"/>
    <x v="214"/>
    <x v="12"/>
    <s v="카톤"/>
    <x v="58"/>
    <n v="4000"/>
    <n v="5"/>
    <x v="16"/>
    <x v="214"/>
  </r>
  <r>
    <x v="5"/>
    <s v="주사제2ML"/>
    <x v="204"/>
    <x v="79"/>
    <s v="필로스주 10A (아모스팜)"/>
    <x v="215"/>
    <x v="12"/>
    <s v="카톤"/>
    <x v="58"/>
    <n v="4000"/>
    <n v="5"/>
    <x v="16"/>
    <x v="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9" firstHeaderRow="1" firstDataRow="1" firstDataCol="6"/>
  <pivotFields count="13">
    <pivotField axis="axisRow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05">
        <item x="151"/>
        <item x="149"/>
        <item x="136"/>
        <item x="135"/>
        <item x="3"/>
        <item x="4"/>
        <item x="17"/>
        <item x="18"/>
        <item x="19"/>
        <item x="6"/>
        <item x="7"/>
        <item x="8"/>
        <item x="150"/>
        <item x="20"/>
        <item x="201"/>
        <item x="42"/>
        <item x="43"/>
        <item x="98"/>
        <item x="195"/>
        <item x="99"/>
        <item x="173"/>
        <item x="178"/>
        <item x="152"/>
        <item x="196"/>
        <item x="197"/>
        <item x="174"/>
        <item x="175"/>
        <item x="176"/>
        <item x="71"/>
        <item x="72"/>
        <item x="73"/>
        <item x="45"/>
        <item x="46"/>
        <item x="47"/>
        <item x="44"/>
        <item x="200"/>
        <item x="199"/>
        <item x="153"/>
        <item x="154"/>
        <item x="155"/>
        <item x="156"/>
        <item x="157"/>
        <item x="181"/>
        <item x="182"/>
        <item x="183"/>
        <item x="184"/>
        <item x="185"/>
        <item x="186"/>
        <item x="187"/>
        <item x="179"/>
        <item x="162"/>
        <item x="161"/>
        <item x="89"/>
        <item x="88"/>
        <item x="74"/>
        <item x="75"/>
        <item x="76"/>
        <item x="90"/>
        <item x="189"/>
        <item x="166"/>
        <item x="54"/>
        <item x="55"/>
        <item x="56"/>
        <item x="57"/>
        <item x="51"/>
        <item x="52"/>
        <item x="53"/>
        <item x="49"/>
        <item x="50"/>
        <item x="48"/>
        <item x="148"/>
        <item x="87"/>
        <item x="202"/>
        <item x="203"/>
        <item x="204"/>
        <item x="27"/>
        <item x="198"/>
        <item x="15"/>
        <item x="9"/>
        <item x="146"/>
        <item x="147"/>
        <item x="95"/>
        <item x="107"/>
        <item x="108"/>
        <item x="109"/>
        <item x="105"/>
        <item x="106"/>
        <item x="10"/>
        <item x="11"/>
        <item x="12"/>
        <item x="23"/>
        <item x="24"/>
        <item x="13"/>
        <item x="14"/>
        <item x="64"/>
        <item x="65"/>
        <item x="21"/>
        <item x="22"/>
        <item x="40"/>
        <item x="41"/>
        <item x="112"/>
        <item x="113"/>
        <item x="114"/>
        <item x="115"/>
        <item x="116"/>
        <item x="133"/>
        <item x="134"/>
        <item x="32"/>
        <item x="33"/>
        <item x="39"/>
        <item x="36"/>
        <item x="28"/>
        <item x="29"/>
        <item x="30"/>
        <item x="158"/>
        <item x="159"/>
        <item x="82"/>
        <item x="83"/>
        <item x="81"/>
        <item x="160"/>
        <item x="0"/>
        <item x="66"/>
        <item x="67"/>
        <item x="100"/>
        <item x="101"/>
        <item x="111"/>
        <item x="110"/>
        <item x="69"/>
        <item x="70"/>
        <item x="91"/>
        <item x="190"/>
        <item x="191"/>
        <item x="192"/>
        <item x="193"/>
        <item x="180"/>
        <item x="131"/>
        <item x="132"/>
        <item x="92"/>
        <item x="93"/>
        <item x="94"/>
        <item x="144"/>
        <item x="123"/>
        <item x="124"/>
        <item x="145"/>
        <item x="143"/>
        <item x="126"/>
        <item x="127"/>
        <item x="77"/>
        <item x="78"/>
        <item x="79"/>
        <item x="80"/>
        <item x="139"/>
        <item x="140"/>
        <item x="31"/>
        <item x="194"/>
        <item x="172"/>
        <item x="171"/>
        <item x="167"/>
        <item x="168"/>
        <item x="169"/>
        <item x="170"/>
        <item x="141"/>
        <item x="142"/>
        <item x="37"/>
        <item x="38"/>
        <item x="34"/>
        <item x="35"/>
        <item x="102"/>
        <item x="103"/>
        <item x="104"/>
        <item x="97"/>
        <item x="26"/>
        <item x="25"/>
        <item x="137"/>
        <item x="117"/>
        <item x="118"/>
        <item x="119"/>
        <item x="138"/>
        <item x="2"/>
        <item x="5"/>
        <item x="120"/>
        <item x="121"/>
        <item x="122"/>
        <item x="58"/>
        <item x="128"/>
        <item x="59"/>
        <item x="60"/>
        <item x="129"/>
        <item x="130"/>
        <item x="62"/>
        <item x="63"/>
        <item x="84"/>
        <item x="61"/>
        <item x="165"/>
        <item x="164"/>
        <item x="163"/>
        <item x="1"/>
        <item x="125"/>
        <item x="96"/>
        <item x="68"/>
        <item x="85"/>
        <item x="188"/>
        <item x="16"/>
        <item x="177"/>
        <item x="8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80">
        <item x="17"/>
        <item x="13"/>
        <item x="24"/>
        <item x="26"/>
        <item x="16"/>
        <item x="11"/>
        <item x="18"/>
        <item x="12"/>
        <item x="48"/>
        <item x="39"/>
        <item x="41"/>
        <item x="51"/>
        <item x="50"/>
        <item x="30"/>
        <item x="43"/>
        <item x="53"/>
        <item x="44"/>
        <item x="46"/>
        <item x="45"/>
        <item x="15"/>
        <item x="14"/>
        <item x="38"/>
        <item x="49"/>
        <item x="52"/>
        <item x="25"/>
        <item x="40"/>
        <item x="29"/>
        <item x="37"/>
        <item x="27"/>
        <item x="35"/>
        <item x="31"/>
        <item x="36"/>
        <item x="32"/>
        <item x="33"/>
        <item x="34"/>
        <item x="42"/>
        <item x="6"/>
        <item x="10"/>
        <item x="55"/>
        <item x="47"/>
        <item x="2"/>
        <item x="4"/>
        <item x="54"/>
        <item x="3"/>
        <item x="22"/>
        <item x="21"/>
        <item x="20"/>
        <item x="19"/>
        <item x="23"/>
        <item x="5"/>
        <item x="7"/>
        <item x="28"/>
        <item x="8"/>
        <item x="9"/>
        <item x="0"/>
        <item x="1"/>
        <item x="63"/>
        <item x="61"/>
        <item x="56"/>
        <item x="67"/>
        <item x="73"/>
        <item x="58"/>
        <item x="57"/>
        <item x="59"/>
        <item x="60"/>
        <item x="64"/>
        <item x="69"/>
        <item x="71"/>
        <item x="74"/>
        <item x="77"/>
        <item x="72"/>
        <item x="70"/>
        <item x="78"/>
        <item x="66"/>
        <item x="65"/>
        <item x="68"/>
        <item x="62"/>
        <item x="79"/>
        <item x="76"/>
        <item x="7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6">
        <item h="1" x="213"/>
        <item h="1" x="214"/>
        <item h="1" x="215"/>
        <item h="1" x="183"/>
        <item h="1" x="27"/>
        <item h="1" x="6"/>
        <item h="1" x="7"/>
        <item h="1" x="8"/>
        <item h="1" x="100"/>
        <item h="1" x="15"/>
        <item h="1" x="9"/>
        <item h="1" x="101"/>
        <item h="1" x="102"/>
        <item h="1" x="97"/>
        <item h="1" x="110"/>
        <item h="1" x="111"/>
        <item h="1" x="112"/>
        <item h="1" x="87"/>
        <item h="1" x="89"/>
        <item h="1" x="108"/>
        <item h="1" x="109"/>
        <item h="1" x="98"/>
        <item h="1" x="10"/>
        <item h="1" x="11"/>
        <item h="1" x="12"/>
        <item h="1" x="23"/>
        <item h="1" x="24"/>
        <item h="1" x="13"/>
        <item h="1" x="14"/>
        <item h="1" x="16"/>
        <item h="1" x="54"/>
        <item h="1" x="55"/>
        <item h="1" x="17"/>
        <item h="1" x="18"/>
        <item h="1" x="19"/>
        <item h="1" x="56"/>
        <item h="1" x="57"/>
        <item h="1" x="51"/>
        <item h="1" x="64"/>
        <item h="1" x="65"/>
        <item h="1" x="20"/>
        <item h="1" x="21"/>
        <item h="1" x="22"/>
        <item h="1" x="40"/>
        <item h="1" x="41"/>
        <item h="1" x="74"/>
        <item h="1" x="168"/>
        <item h="1" x="167"/>
        <item h="1" x="186"/>
        <item h="1" x="166"/>
        <item h="1" x="137"/>
        <item h="1" x="138"/>
        <item h="1" x="32"/>
        <item h="1" x="33"/>
        <item h="1" x="39"/>
        <item h="1" x="36"/>
        <item h="1" x="75"/>
        <item h="1" x="76"/>
        <item h="1" x="28"/>
        <item h="1" x="29"/>
        <item h="1" x="30"/>
        <item h="1" x="82"/>
        <item h="1" x="83"/>
        <item h="1" x="81"/>
        <item h="1" x="171"/>
        <item h="1" x="170"/>
        <item h="1" x="169"/>
        <item h="1" x="115"/>
        <item h="1" x="116"/>
        <item h="1" x="52"/>
        <item h="1" x="53"/>
        <item h="1" x="49"/>
        <item h="1" x="50"/>
        <item h="1" x="1"/>
        <item h="1" x="0"/>
        <item h="1" x="117"/>
        <item h="1" x="118"/>
        <item h="1" x="119"/>
        <item h="1" x="68"/>
        <item h="1" x="66"/>
        <item h="1" x="67"/>
        <item h="1" x="45"/>
        <item h="1" x="46"/>
        <item h="1" x="205"/>
        <item h="1" x="103"/>
        <item h="1" x="104"/>
        <item h="1" x="47"/>
        <item h="1" x="44"/>
        <item h="1" x="114"/>
        <item h="1" x="113"/>
        <item h="1" x="69"/>
        <item h="1" x="70"/>
        <item h="1" x="91"/>
        <item h="1" x="90"/>
        <item h="1" x="93"/>
        <item h="1" x="203"/>
        <item h="1" x="197"/>
        <item h="1" x="198"/>
        <item h="1" x="199"/>
        <item h="1" x="200"/>
        <item h="1" x="187"/>
        <item h="1" x="134"/>
        <item h="1" x="135"/>
        <item h="1" x="94"/>
        <item h="1" x="95"/>
        <item h="1" x="96"/>
        <item h="1" x="188"/>
        <item h="1" x="189"/>
        <item h="1" x="190"/>
        <item h="1" x="191"/>
        <item h="1" x="192"/>
        <item h="1" x="193"/>
        <item h="1" x="194"/>
        <item h="1" x="148"/>
        <item h="1" x="126"/>
        <item h="1" x="127"/>
        <item h="1" x="92"/>
        <item h="1" x="88"/>
        <item h="1" x="149"/>
        <item h="1" x="147"/>
        <item h="1" x="129"/>
        <item h="1" x="130"/>
        <item h="1" x="77"/>
        <item h="1" x="78"/>
        <item h="1" x="79"/>
        <item h="1" x="80"/>
        <item h="1" x="209"/>
        <item h="1" x="210"/>
        <item h="1" x="211"/>
        <item h="1" x="143"/>
        <item h="1" x="144"/>
        <item h="1" x="71"/>
        <item h="1" x="72"/>
        <item h="1" x="73"/>
        <item h="1" x="31"/>
        <item h="1" x="201"/>
        <item h="1" x="178"/>
        <item h="1" x="177"/>
        <item h="1" x="173"/>
        <item h="1" x="174"/>
        <item h="1" x="175"/>
        <item h="1" x="176"/>
        <item h="1" x="206"/>
        <item h="1" x="207"/>
        <item h="1" x="208"/>
        <item h="1" x="145"/>
        <item h="1" x="146"/>
        <item h="1" x="85"/>
        <item h="1" x="86"/>
        <item h="1" x="84"/>
        <item h="1" x="37"/>
        <item h="1" x="38"/>
        <item h="1" x="34"/>
        <item h="1" x="35"/>
        <item h="1" x="140"/>
        <item h="1" x="139"/>
        <item h="1" x="105"/>
        <item h="1" x="106"/>
        <item h="1" x="107"/>
        <item h="1" x="99"/>
        <item h="1" x="212"/>
        <item h="1" x="204"/>
        <item h="1" x="180"/>
        <item h="1" x="181"/>
        <item h="1" x="26"/>
        <item h="1" x="25"/>
        <item h="1" x="141"/>
        <item h="1" x="120"/>
        <item h="1" x="121"/>
        <item h="1" x="122"/>
        <item h="1" x="142"/>
        <item h="1" x="162"/>
        <item h="1" x="156"/>
        <item x="2"/>
        <item h="1" x="5"/>
        <item h="1" x="123"/>
        <item h="1" x="124"/>
        <item h="1" x="128"/>
        <item h="1" x="196"/>
        <item h="1" x="172"/>
        <item h="1" x="42"/>
        <item h="1" x="43"/>
        <item h="1" x="202"/>
        <item h="1" x="179"/>
        <item h="1" x="58"/>
        <item h="1" x="150"/>
        <item h="1" x="151"/>
        <item h="1" x="163"/>
        <item h="1" x="164"/>
        <item h="1" x="165"/>
        <item h="1" x="3"/>
        <item h="1" x="4"/>
        <item h="1" x="125"/>
        <item h="1" x="131"/>
        <item h="1" x="59"/>
        <item h="1" x="60"/>
        <item h="1" x="184"/>
        <item h="1" x="185"/>
        <item h="1" x="182"/>
        <item h="1" x="132"/>
        <item h="1" x="133"/>
        <item h="1" x="136"/>
        <item h="1" x="61"/>
        <item h="1" x="48"/>
        <item h="1" x="62"/>
        <item h="1" x="63"/>
        <item h="1" x="157"/>
        <item h="1" x="158"/>
        <item h="1" x="159"/>
        <item h="1" x="160"/>
        <item h="1" x="161"/>
        <item h="1" x="152"/>
        <item h="1" x="153"/>
        <item h="1" x="154"/>
        <item h="1" x="155"/>
        <item h="1" x="1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4">
        <item x="13"/>
        <item x="2"/>
        <item x="4"/>
        <item x="9"/>
        <item x="10"/>
        <item x="3"/>
        <item x="5"/>
        <item x="8"/>
        <item x="7"/>
        <item x="0"/>
        <item x="12"/>
        <item x="11"/>
        <item x="1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0">
        <item x="27"/>
        <item x="25"/>
        <item x="33"/>
        <item x="34"/>
        <item x="24"/>
        <item x="28"/>
        <item x="23"/>
        <item x="26"/>
        <item x="48"/>
        <item x="49"/>
        <item x="47"/>
        <item x="43"/>
        <item x="44"/>
        <item x="42"/>
        <item x="3"/>
        <item x="5"/>
        <item x="32"/>
        <item x="30"/>
        <item x="53"/>
        <item x="56"/>
        <item x="1"/>
        <item x="14"/>
        <item x="36"/>
        <item x="51"/>
        <item x="50"/>
        <item x="39"/>
        <item x="37"/>
        <item x="40"/>
        <item x="52"/>
        <item x="13"/>
        <item x="22"/>
        <item x="38"/>
        <item x="54"/>
        <item x="57"/>
        <item x="55"/>
        <item x="58"/>
        <item x="31"/>
        <item x="29"/>
        <item x="20"/>
        <item x="6"/>
        <item x="0"/>
        <item x="41"/>
        <item x="35"/>
        <item x="46"/>
        <item x="10"/>
        <item x="7"/>
        <item x="16"/>
        <item x="45"/>
        <item x="59"/>
        <item x="8"/>
        <item x="9"/>
        <item x="15"/>
        <item x="19"/>
        <item x="12"/>
        <item x="21"/>
        <item x="18"/>
        <item x="11"/>
        <item x="17"/>
        <item x="2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217">
        <item x="166"/>
        <item x="84"/>
        <item x="71"/>
        <item x="72"/>
        <item x="73"/>
        <item x="6"/>
        <item x="7"/>
        <item x="8"/>
        <item x="17"/>
        <item x="18"/>
        <item x="19"/>
        <item x="0"/>
        <item x="163"/>
        <item x="164"/>
        <item x="165"/>
        <item x="141"/>
        <item x="142"/>
        <item x="2"/>
        <item x="5"/>
        <item x="15"/>
        <item x="9"/>
        <item x="10"/>
        <item x="11"/>
        <item x="12"/>
        <item x="13"/>
        <item x="14"/>
        <item x="21"/>
        <item x="22"/>
        <item x="74"/>
        <item x="75"/>
        <item x="91"/>
        <item x="90"/>
        <item x="168"/>
        <item x="167"/>
        <item x="186"/>
        <item x="148"/>
        <item x="149"/>
        <item x="147"/>
        <item x="143"/>
        <item x="144"/>
        <item x="145"/>
        <item x="146"/>
        <item x="184"/>
        <item x="185"/>
        <item x="212"/>
        <item x="196"/>
        <item x="172"/>
        <item x="188"/>
        <item x="189"/>
        <item x="190"/>
        <item x="191"/>
        <item x="192"/>
        <item x="193"/>
        <item x="194"/>
        <item x="98"/>
        <item x="23"/>
        <item x="24"/>
        <item x="26"/>
        <item x="25"/>
        <item x="100"/>
        <item x="101"/>
        <item x="102"/>
        <item x="68"/>
        <item x="171"/>
        <item x="170"/>
        <item x="169"/>
        <item x="27"/>
        <item x="28"/>
        <item x="29"/>
        <item x="30"/>
        <item x="31"/>
        <item x="32"/>
        <item x="33"/>
        <item x="34"/>
        <item x="35"/>
        <item x="39"/>
        <item x="36"/>
        <item x="37"/>
        <item x="38"/>
        <item x="54"/>
        <item x="55"/>
        <item x="56"/>
        <item x="57"/>
        <item x="51"/>
        <item x="52"/>
        <item x="53"/>
        <item x="49"/>
        <item x="50"/>
        <item x="48"/>
        <item x="187"/>
        <item x="40"/>
        <item x="41"/>
        <item x="205"/>
        <item x="99"/>
        <item x="58"/>
        <item x="59"/>
        <item x="60"/>
        <item x="64"/>
        <item x="65"/>
        <item x="66"/>
        <item x="67"/>
        <item x="62"/>
        <item x="63"/>
        <item x="150"/>
        <item x="151"/>
        <item x="69"/>
        <item x="70"/>
        <item x="195"/>
        <item x="86"/>
        <item x="42"/>
        <item x="43"/>
        <item x="203"/>
        <item x="204"/>
        <item x="180"/>
        <item x="181"/>
        <item x="182"/>
        <item x="76"/>
        <item x="156"/>
        <item x="157"/>
        <item x="158"/>
        <item x="159"/>
        <item x="160"/>
        <item x="161"/>
        <item x="45"/>
        <item x="46"/>
        <item x="47"/>
        <item x="44"/>
        <item x="89"/>
        <item x="85"/>
        <item x="88"/>
        <item x="155"/>
        <item x="152"/>
        <item x="153"/>
        <item x="154"/>
        <item x="87"/>
        <item x="82"/>
        <item x="83"/>
        <item x="81"/>
        <item x="77"/>
        <item x="78"/>
        <item x="79"/>
        <item x="80"/>
        <item x="162"/>
        <item x="97"/>
        <item x="93"/>
        <item x="94"/>
        <item x="95"/>
        <item x="96"/>
        <item x="103"/>
        <item x="104"/>
        <item x="108"/>
        <item x="109"/>
        <item x="105"/>
        <item x="106"/>
        <item x="107"/>
        <item x="128"/>
        <item x="136"/>
        <item x="110"/>
        <item x="111"/>
        <item x="112"/>
        <item x="114"/>
        <item x="113"/>
        <item x="202"/>
        <item x="179"/>
        <item x="115"/>
        <item x="116"/>
        <item x="117"/>
        <item x="118"/>
        <item x="119"/>
        <item x="126"/>
        <item x="127"/>
        <item x="120"/>
        <item x="121"/>
        <item x="122"/>
        <item x="123"/>
        <item x="124"/>
        <item x="125"/>
        <item x="129"/>
        <item x="130"/>
        <item x="134"/>
        <item x="135"/>
        <item x="131"/>
        <item x="132"/>
        <item x="133"/>
        <item x="197"/>
        <item x="198"/>
        <item x="199"/>
        <item x="200"/>
        <item x="201"/>
        <item x="178"/>
        <item x="177"/>
        <item x="173"/>
        <item x="174"/>
        <item x="175"/>
        <item x="176"/>
        <item x="137"/>
        <item x="138"/>
        <item x="1"/>
        <item x="61"/>
        <item x="20"/>
        <item x="16"/>
        <item x="140"/>
        <item x="139"/>
        <item x="3"/>
        <item x="4"/>
        <item x="183"/>
        <item x="213"/>
        <item x="214"/>
        <item x="215"/>
        <item x="92"/>
        <item x="209"/>
        <item x="210"/>
        <item x="211"/>
        <item x="206"/>
        <item x="207"/>
        <item x="20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1"/>
    <field x="8"/>
    <field x="0"/>
    <field x="6"/>
    <field x="5"/>
    <field x="12"/>
  </rowFields>
  <rowItems count="6">
    <i>
      <x v="2"/>
      <x v="1"/>
      <x v="1"/>
      <x v="12"/>
      <x v="173"/>
      <x v="17"/>
    </i>
    <i r="1">
      <x v="4"/>
      <x v="1"/>
      <x v="9"/>
      <x v="173"/>
      <x v="17"/>
    </i>
    <i r="1">
      <x v="6"/>
      <x v="1"/>
      <x v="7"/>
      <x v="173"/>
      <x v="17"/>
    </i>
    <i r="1">
      <x v="14"/>
      <x/>
      <x v="5"/>
      <x v="173"/>
      <x v="17"/>
    </i>
    <i r="1">
      <x v="58"/>
      <x/>
      <x v="1"/>
      <x v="173"/>
      <x v="1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부서명" tableColumnId="1"/>
      <queryTableField id="2" name="함량" tableColumnId="2"/>
      <queryTableField id="3" name="제조번호" tableColumnId="3"/>
      <queryTableField id="4" name="제품코드" tableColumnId="4"/>
      <queryTableField id="5" name="제품명" tableColumnId="5"/>
      <queryTableField id="6" name="오더번호" tableColumnId="6"/>
      <queryTableField id="7" name="공정" tableColumnId="7"/>
      <queryTableField id="8" name="공정명" tableColumnId="8"/>
      <queryTableField id="9" name="설비명" tableColumnId="9"/>
      <queryTableField id="10" name="지시수량" tableColumnId="10"/>
      <queryTableField id="11" name="소요시간(H)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name="ExternalData_1" backgroundRefresh="0" connectionId="1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부서명" tableColumnId="1"/>
      <queryTableField id="2" name="제품코드" tableColumnId="2"/>
      <queryTableField id="3" name="제품명" tableColumnId="3"/>
      <queryTableField id="4" name="지시량합" tableColumnId="4"/>
      <queryTableField id="5" dataBound="0" tableColumnId="5"/>
    </queryTableFields>
  </queryTableRefresh>
  <extLst>
    <ext xmlns:x15="http://schemas.microsoft.com/office/spreadsheetml/2010/11/main" uri="{883FBD77-0823-4a55-B5E3-86C4891E6966}">
      <x15:queryTable sourceDataName="Query - 공정중_우선순위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Merge1" displayName="Merge1" ref="A1:M1054" tableType="queryTable" totalsRowShown="0">
  <autoFilter ref="A1:M1054"/>
  <sortState ref="A2:L1054">
    <sortCondition ref="A2:A1054"/>
    <sortCondition ref="L2:L1054"/>
  </sortState>
  <tableColumns count="13">
    <tableColumn id="1" uniqueName="1" name="부서명" queryTableFieldId="1" dataDxfId="11"/>
    <tableColumn id="2" uniqueName="2" name="함량" queryTableFieldId="2" dataDxfId="10"/>
    <tableColumn id="3" uniqueName="3" name="제조번호" queryTableFieldId="3" dataDxfId="9"/>
    <tableColumn id="4" uniqueName="4" name="제품코드" queryTableFieldId="4" dataDxfId="8"/>
    <tableColumn id="5" uniqueName="5" name="제품명" queryTableFieldId="5" dataDxfId="7"/>
    <tableColumn id="6" uniqueName="6" name="오더번호" queryTableFieldId="6" dataDxfId="6"/>
    <tableColumn id="7" uniqueName="7" name="공정" queryTableFieldId="7"/>
    <tableColumn id="8" uniqueName="8" name="공정명" queryTableFieldId="8" dataDxfId="5"/>
    <tableColumn id="9" uniqueName="9" name="설비명" queryTableFieldId="9" dataDxfId="4"/>
    <tableColumn id="10" uniqueName="10" name="지시수량" queryTableFieldId="10"/>
    <tableColumn id="11" uniqueName="11" name="소요시간(H)" queryTableFieldId="11"/>
    <tableColumn id="12" uniqueName="12" name="우선순위" queryTableFieldId="12" dataDxfId="3">
      <calculatedColumnFormula>VLOOKUP(Merge1[[#This Row],[제품코드]],공정중_우선순위[[제품코드]:[우선순위]],4,0)</calculatedColumnFormula>
    </tableColumn>
    <tableColumn id="13" uniqueName="13" name="보여줄값" queryTableFieldId="13" dataDxfId="2">
      <calculatedColumnFormula>_xlfn.TEXTJOIN(CHAR(10), TRUE, ,Merge1[[#This Row],[제품명]],Merge1[[#This Row],[오더번호]],Merge1[[#This Row],[제조번호]],Merge1[[#This Row],[지시수량]])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공정중_우선순위" displayName="공정중_우선순위" ref="A1:E84" tableType="queryTable" totalsRowShown="0">
  <autoFilter ref="A1:E84"/>
  <tableColumns count="5">
    <tableColumn id="1" uniqueName="1" name="부서명" queryTableFieldId="1" dataDxfId="1"/>
    <tableColumn id="2" uniqueName="2" name="제품코드" queryTableFieldId="2" dataDxfId="0"/>
    <tableColumn id="3" uniqueName="3" name="제품명" queryTableFieldId="3"/>
    <tableColumn id="4" uniqueName="4" name="지시량합" queryTableFieldId="4"/>
    <tableColumn id="5" uniqueName="5" name="우선순위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9"/>
  <sheetViews>
    <sheetView workbookViewId="0">
      <selection activeCell="I2" sqref="I2"/>
    </sheetView>
  </sheetViews>
  <sheetFormatPr defaultRowHeight="13.5" x14ac:dyDescent="0.25"/>
  <cols>
    <col min="1" max="1" width="12.5703125" bestFit="1" customWidth="1"/>
    <col min="2" max="2" width="29.42578125" bestFit="1" customWidth="1"/>
    <col min="3" max="3" width="15.140625" bestFit="1" customWidth="1"/>
    <col min="4" max="4" width="7.7109375" bestFit="1" customWidth="1"/>
    <col min="5" max="5" width="17.42578125" customWidth="1"/>
    <col min="6" max="6" width="57.85546875" bestFit="1" customWidth="1"/>
    <col min="7" max="7" width="11.42578125" bestFit="1" customWidth="1"/>
  </cols>
  <sheetData>
    <row r="2" spans="1:9" x14ac:dyDescent="0.25">
      <c r="I2" t="s">
        <v>470</v>
      </c>
    </row>
    <row r="3" spans="1:9" x14ac:dyDescent="0.25">
      <c r="A3" s="1" t="s">
        <v>742</v>
      </c>
      <c r="B3" s="1" t="s">
        <v>198</v>
      </c>
      <c r="C3" s="1" t="s">
        <v>191</v>
      </c>
      <c r="D3" s="1" t="s">
        <v>197</v>
      </c>
      <c r="E3" s="1" t="s">
        <v>196</v>
      </c>
      <c r="F3" s="1" t="s">
        <v>743</v>
      </c>
      <c r="I3" t="s">
        <v>485</v>
      </c>
    </row>
    <row r="4" spans="1:9" x14ac:dyDescent="0.25">
      <c r="A4">
        <v>3</v>
      </c>
      <c r="B4" t="s">
        <v>455</v>
      </c>
      <c r="C4" t="s">
        <v>438</v>
      </c>
      <c r="D4">
        <v>110</v>
      </c>
      <c r="E4" t="s">
        <v>470</v>
      </c>
      <c r="F4" t="s">
        <v>745</v>
      </c>
      <c r="I4" t="s">
        <v>487</v>
      </c>
    </row>
    <row r="5" spans="1:9" x14ac:dyDescent="0.25">
      <c r="A5">
        <v>3</v>
      </c>
      <c r="B5" t="s">
        <v>476</v>
      </c>
      <c r="C5" t="s">
        <v>438</v>
      </c>
      <c r="D5">
        <v>80</v>
      </c>
      <c r="E5" t="s">
        <v>470</v>
      </c>
      <c r="F5" t="s">
        <v>745</v>
      </c>
    </row>
    <row r="6" spans="1:9" x14ac:dyDescent="0.25">
      <c r="A6">
        <v>3</v>
      </c>
      <c r="B6" t="s">
        <v>473</v>
      </c>
      <c r="C6" t="s">
        <v>438</v>
      </c>
      <c r="D6">
        <v>60</v>
      </c>
      <c r="E6" t="s">
        <v>470</v>
      </c>
      <c r="F6" t="s">
        <v>745</v>
      </c>
    </row>
    <row r="7" spans="1:9" x14ac:dyDescent="0.25">
      <c r="A7">
        <v>3</v>
      </c>
      <c r="B7" t="s">
        <v>382</v>
      </c>
      <c r="C7" t="s">
        <v>200</v>
      </c>
      <c r="D7">
        <v>50</v>
      </c>
      <c r="E7" t="s">
        <v>470</v>
      </c>
      <c r="F7" t="s">
        <v>745</v>
      </c>
    </row>
    <row r="8" spans="1:9" x14ac:dyDescent="0.25">
      <c r="A8">
        <v>3</v>
      </c>
      <c r="B8" t="s">
        <v>269</v>
      </c>
      <c r="C8" t="s">
        <v>200</v>
      </c>
      <c r="D8">
        <v>20</v>
      </c>
      <c r="E8" t="s">
        <v>470</v>
      </c>
      <c r="F8" t="s">
        <v>745</v>
      </c>
    </row>
    <row r="9" spans="1:9" x14ac:dyDescent="0.25">
      <c r="A9" t="s">
        <v>729</v>
      </c>
    </row>
  </sheetData>
  <phoneticPr fontId="3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54"/>
  <sheetViews>
    <sheetView tabSelected="1" workbookViewId="0">
      <selection activeCell="K1" sqref="K1"/>
    </sheetView>
  </sheetViews>
  <sheetFormatPr defaultRowHeight="13.5" x14ac:dyDescent="0.25"/>
  <cols>
    <col min="1" max="1" width="15.140625" bestFit="1" customWidth="1"/>
    <col min="2" max="2" width="28.28515625" bestFit="1" customWidth="1"/>
    <col min="3" max="3" width="15.5703125" bestFit="1" customWidth="1"/>
    <col min="4" max="4" width="14.28515625" bestFit="1" customWidth="1"/>
    <col min="5" max="5" width="50.140625" bestFit="1" customWidth="1"/>
    <col min="6" max="6" width="11.42578125" bestFit="1" customWidth="1"/>
    <col min="7" max="7" width="7.7109375" bestFit="1" customWidth="1"/>
    <col min="8" max="8" width="18.7109375" bestFit="1" customWidth="1"/>
    <col min="9" max="9" width="26.7109375" bestFit="1" customWidth="1"/>
    <col min="10" max="10" width="11.42578125" bestFit="1" customWidth="1"/>
    <col min="11" max="11" width="14.5703125" bestFit="1" customWidth="1"/>
    <col min="13" max="13" width="28.85546875" style="11" customWidth="1"/>
  </cols>
  <sheetData>
    <row r="1" spans="1:13" x14ac:dyDescent="0.25">
      <c r="A1" t="s">
        <v>191</v>
      </c>
      <c r="B1" t="s">
        <v>192</v>
      </c>
      <c r="C1" t="s">
        <v>193</v>
      </c>
      <c r="D1" t="s">
        <v>194</v>
      </c>
      <c r="E1" t="s">
        <v>195</v>
      </c>
      <c r="F1" t="s">
        <v>196</v>
      </c>
      <c r="G1" t="s">
        <v>197</v>
      </c>
      <c r="H1" t="s">
        <v>0</v>
      </c>
      <c r="I1" t="s">
        <v>198</v>
      </c>
      <c r="J1" t="s">
        <v>199</v>
      </c>
      <c r="K1" t="s">
        <v>760</v>
      </c>
      <c r="L1" s="8" t="s">
        <v>728</v>
      </c>
      <c r="M1" s="9" t="s">
        <v>744</v>
      </c>
    </row>
    <row r="2" spans="1:13" ht="54" x14ac:dyDescent="0.25">
      <c r="A2" t="s">
        <v>200</v>
      </c>
      <c r="B2" t="s">
        <v>550</v>
      </c>
      <c r="C2" t="s">
        <v>551</v>
      </c>
      <c r="D2" t="s">
        <v>133</v>
      </c>
      <c r="E2" t="s">
        <v>134</v>
      </c>
      <c r="F2" t="s">
        <v>552</v>
      </c>
      <c r="G2">
        <v>80</v>
      </c>
      <c r="H2" t="s">
        <v>9</v>
      </c>
      <c r="I2" t="s">
        <v>327</v>
      </c>
      <c r="J2">
        <v>1000000</v>
      </c>
      <c r="K2">
        <v>10</v>
      </c>
      <c r="L2">
        <f>VLOOKUP(Merge1[[#This Row],[제품코드]],공정중_우선순위[[제품코드]:[우선순위]],4,0)</f>
        <v>1</v>
      </c>
      <c r="M2" s="10" t="str">
        <f>_xlfn.TEXTJOIN(CHAR(10), TRUE, ,Merge1[[#This Row],[제품명]],Merge1[[#This Row],[오더번호]],Merge1[[#This Row],[제조번호]],Merge1[[#This Row],[지시수량]])</f>
        <v>다파리나정 반제품
1015412
A002900
1000000</v>
      </c>
    </row>
    <row r="3" spans="1:13" ht="54" x14ac:dyDescent="0.25">
      <c r="A3" t="s">
        <v>200</v>
      </c>
      <c r="B3" t="s">
        <v>550</v>
      </c>
      <c r="C3" t="s">
        <v>551</v>
      </c>
      <c r="D3" t="s">
        <v>133</v>
      </c>
      <c r="E3" t="s">
        <v>134</v>
      </c>
      <c r="F3" t="s">
        <v>552</v>
      </c>
      <c r="G3">
        <v>80</v>
      </c>
      <c r="H3" t="s">
        <v>9</v>
      </c>
      <c r="I3" t="s">
        <v>327</v>
      </c>
      <c r="J3">
        <v>1000000</v>
      </c>
      <c r="K3">
        <v>10</v>
      </c>
      <c r="L3">
        <f>VLOOKUP(Merge1[[#This Row],[제품코드]],공정중_우선순위[[제품코드]:[우선순위]],4,0)</f>
        <v>1</v>
      </c>
      <c r="M3" s="10" t="str">
        <f>_xlfn.TEXTJOIN(CHAR(10), TRUE, ,Merge1[[#This Row],[제품명]],Merge1[[#This Row],[오더번호]],Merge1[[#This Row],[제조번호]],Merge1[[#This Row],[지시수량]])</f>
        <v>다파리나정 반제품
1015412
A002900
1000000</v>
      </c>
    </row>
    <row r="4" spans="1:13" ht="54" x14ac:dyDescent="0.25">
      <c r="A4" t="s">
        <v>200</v>
      </c>
      <c r="B4" t="s">
        <v>550</v>
      </c>
      <c r="C4" t="s">
        <v>551</v>
      </c>
      <c r="D4" t="s">
        <v>133</v>
      </c>
      <c r="E4" t="s">
        <v>134</v>
      </c>
      <c r="F4" t="s">
        <v>552</v>
      </c>
      <c r="G4">
        <v>110</v>
      </c>
      <c r="H4" t="s">
        <v>6</v>
      </c>
      <c r="I4" t="s">
        <v>234</v>
      </c>
      <c r="J4">
        <v>1000000</v>
      </c>
      <c r="K4">
        <v>18</v>
      </c>
      <c r="L4">
        <f>VLOOKUP(Merge1[[#This Row],[제품코드]],공정중_우선순위[[제품코드]:[우선순위]],4,0)</f>
        <v>1</v>
      </c>
      <c r="M4" s="10" t="str">
        <f>_xlfn.TEXTJOIN(CHAR(10), TRUE, ,Merge1[[#This Row],[제품명]],Merge1[[#This Row],[오더번호]],Merge1[[#This Row],[제조번호]],Merge1[[#This Row],[지시수량]])</f>
        <v>다파리나정 반제품
1015412
A002900
1000000</v>
      </c>
    </row>
    <row r="5" spans="1:13" ht="54" x14ac:dyDescent="0.25">
      <c r="A5" t="s">
        <v>200</v>
      </c>
      <c r="B5" t="s">
        <v>550</v>
      </c>
      <c r="C5" t="s">
        <v>551</v>
      </c>
      <c r="D5" t="s">
        <v>133</v>
      </c>
      <c r="E5" t="s">
        <v>134</v>
      </c>
      <c r="F5" t="s">
        <v>552</v>
      </c>
      <c r="G5">
        <v>110</v>
      </c>
      <c r="H5" t="s">
        <v>6</v>
      </c>
      <c r="I5" t="s">
        <v>234</v>
      </c>
      <c r="J5">
        <v>1000000</v>
      </c>
      <c r="K5">
        <v>18</v>
      </c>
      <c r="L5">
        <f>VLOOKUP(Merge1[[#This Row],[제품코드]],공정중_우선순위[[제품코드]:[우선순위]],4,0)</f>
        <v>1</v>
      </c>
      <c r="M5" s="10" t="str">
        <f>_xlfn.TEXTJOIN(CHAR(10), TRUE, ,Merge1[[#This Row],[제품명]],Merge1[[#This Row],[오더번호]],Merge1[[#This Row],[제조번호]],Merge1[[#This Row],[지시수량]])</f>
        <v>다파리나정 반제품
1015412
A002900
1000000</v>
      </c>
    </row>
    <row r="6" spans="1:13" ht="67.5" x14ac:dyDescent="0.25">
      <c r="A6" t="s">
        <v>200</v>
      </c>
      <c r="B6" t="s">
        <v>550</v>
      </c>
      <c r="C6" t="s">
        <v>553</v>
      </c>
      <c r="D6" t="s">
        <v>135</v>
      </c>
      <c r="E6" t="s">
        <v>136</v>
      </c>
      <c r="F6" t="s">
        <v>554</v>
      </c>
      <c r="G6">
        <v>80</v>
      </c>
      <c r="H6" t="s">
        <v>9</v>
      </c>
      <c r="I6" t="s">
        <v>327</v>
      </c>
      <c r="J6">
        <v>1000000</v>
      </c>
      <c r="K6">
        <v>10</v>
      </c>
      <c r="L6">
        <f>VLOOKUP(Merge1[[#This Row],[제품코드]],공정중_우선순위[[제품코드]:[우선순위]],4,0)</f>
        <v>2</v>
      </c>
      <c r="M6" s="10" t="str">
        <f>_xlfn.TEXTJOIN(CHAR(10), TRUE, ,Merge1[[#This Row],[제품명]],Merge1[[#This Row],[오더번호]],Merge1[[#This Row],[제조번호]],Merge1[[#This Row],[지시수량]])</f>
        <v>트루다파엘정10/5mg 반제품 (보령)
1015411
E00100
1000000</v>
      </c>
    </row>
    <row r="7" spans="1:13" ht="67.5" x14ac:dyDescent="0.25">
      <c r="A7" t="s">
        <v>200</v>
      </c>
      <c r="B7" t="s">
        <v>550</v>
      </c>
      <c r="C7" t="s">
        <v>553</v>
      </c>
      <c r="D7" t="s">
        <v>135</v>
      </c>
      <c r="E7" t="s">
        <v>136</v>
      </c>
      <c r="F7" t="s">
        <v>554</v>
      </c>
      <c r="G7">
        <v>80</v>
      </c>
      <c r="H7" t="s">
        <v>9</v>
      </c>
      <c r="I7" t="s">
        <v>327</v>
      </c>
      <c r="J7">
        <v>1000000</v>
      </c>
      <c r="K7">
        <v>10</v>
      </c>
      <c r="L7">
        <f>VLOOKUP(Merge1[[#This Row],[제품코드]],공정중_우선순위[[제품코드]:[우선순위]],4,0)</f>
        <v>2</v>
      </c>
      <c r="M7" s="10" t="str">
        <f>_xlfn.TEXTJOIN(CHAR(10), TRUE, ,Merge1[[#This Row],[제품명]],Merge1[[#This Row],[오더번호]],Merge1[[#This Row],[제조번호]],Merge1[[#This Row],[지시수량]])</f>
        <v>트루다파엘정10/5mg 반제품 (보령)
1015411
E00100
1000000</v>
      </c>
    </row>
    <row r="8" spans="1:13" ht="67.5" x14ac:dyDescent="0.25">
      <c r="A8" t="s">
        <v>200</v>
      </c>
      <c r="B8" t="s">
        <v>550</v>
      </c>
      <c r="C8" t="s">
        <v>553</v>
      </c>
      <c r="D8" t="s">
        <v>135</v>
      </c>
      <c r="E8" t="s">
        <v>136</v>
      </c>
      <c r="F8" t="s">
        <v>554</v>
      </c>
      <c r="G8">
        <v>110</v>
      </c>
      <c r="H8" t="s">
        <v>6</v>
      </c>
      <c r="I8" t="s">
        <v>234</v>
      </c>
      <c r="J8">
        <v>1000000</v>
      </c>
      <c r="K8">
        <v>18</v>
      </c>
      <c r="L8">
        <f>VLOOKUP(Merge1[[#This Row],[제품코드]],공정중_우선순위[[제품코드]:[우선순위]],4,0)</f>
        <v>2</v>
      </c>
      <c r="M8" s="10" t="str">
        <f>_xlfn.TEXTJOIN(CHAR(10), TRUE, ,Merge1[[#This Row],[제품명]],Merge1[[#This Row],[오더번호]],Merge1[[#This Row],[제조번호]],Merge1[[#This Row],[지시수량]])</f>
        <v>트루다파엘정10/5mg 반제품 (보령)
1015411
E00100
1000000</v>
      </c>
    </row>
    <row r="9" spans="1:13" ht="67.5" x14ac:dyDescent="0.25">
      <c r="A9" t="s">
        <v>200</v>
      </c>
      <c r="B9" t="s">
        <v>550</v>
      </c>
      <c r="C9" t="s">
        <v>553</v>
      </c>
      <c r="D9" t="s">
        <v>135</v>
      </c>
      <c r="E9" t="s">
        <v>136</v>
      </c>
      <c r="F9" t="s">
        <v>554</v>
      </c>
      <c r="G9">
        <v>110</v>
      </c>
      <c r="H9" t="s">
        <v>6</v>
      </c>
      <c r="I9" t="s">
        <v>234</v>
      </c>
      <c r="J9">
        <v>1000000</v>
      </c>
      <c r="K9">
        <v>18</v>
      </c>
      <c r="L9">
        <f>VLOOKUP(Merge1[[#This Row],[제품코드]],공정중_우선순위[[제품코드]:[우선순위]],4,0)</f>
        <v>2</v>
      </c>
      <c r="M9" s="10" t="str">
        <f>_xlfn.TEXTJOIN(CHAR(10), TRUE, ,Merge1[[#This Row],[제품명]],Merge1[[#This Row],[오더번호]],Merge1[[#This Row],[제조번호]],Merge1[[#This Row],[지시수량]])</f>
        <v>트루다파엘정10/5mg 반제품 (보령)
1015411
E00100
1000000</v>
      </c>
    </row>
    <row r="10" spans="1:13" ht="67.5" x14ac:dyDescent="0.25">
      <c r="A10" t="s">
        <v>200</v>
      </c>
      <c r="B10" t="s">
        <v>468</v>
      </c>
      <c r="C10" t="s">
        <v>469</v>
      </c>
      <c r="D10" t="s">
        <v>90</v>
      </c>
      <c r="E10" t="s">
        <v>91</v>
      </c>
      <c r="F10" t="s">
        <v>470</v>
      </c>
      <c r="G10">
        <v>20</v>
      </c>
      <c r="H10" t="s">
        <v>92</v>
      </c>
      <c r="I10" t="s">
        <v>269</v>
      </c>
      <c r="J10">
        <v>200000</v>
      </c>
      <c r="K10">
        <v>13</v>
      </c>
      <c r="L10">
        <f>VLOOKUP(Merge1[[#This Row],[제품코드]],공정중_우선순위[[제품코드]:[우선순위]],4,0)</f>
        <v>3</v>
      </c>
      <c r="M10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1" spans="1:13" ht="67.5" x14ac:dyDescent="0.25">
      <c r="A11" t="s">
        <v>200</v>
      </c>
      <c r="B11" t="s">
        <v>468</v>
      </c>
      <c r="C11" t="s">
        <v>469</v>
      </c>
      <c r="D11" t="s">
        <v>90</v>
      </c>
      <c r="E11" t="s">
        <v>91</v>
      </c>
      <c r="F11" t="s">
        <v>470</v>
      </c>
      <c r="G11">
        <v>20</v>
      </c>
      <c r="H11" t="s">
        <v>92</v>
      </c>
      <c r="I11" t="s">
        <v>269</v>
      </c>
      <c r="J11">
        <v>200000</v>
      </c>
      <c r="K11">
        <v>13</v>
      </c>
      <c r="L11">
        <f>VLOOKUP(Merge1[[#This Row],[제품코드]],공정중_우선순위[[제품코드]:[우선순위]],4,0)</f>
        <v>3</v>
      </c>
      <c r="M11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2" spans="1:13" ht="67.5" x14ac:dyDescent="0.25">
      <c r="A12" t="s">
        <v>200</v>
      </c>
      <c r="B12" t="s">
        <v>468</v>
      </c>
      <c r="C12" t="s">
        <v>469</v>
      </c>
      <c r="D12" t="s">
        <v>90</v>
      </c>
      <c r="E12" t="s">
        <v>91</v>
      </c>
      <c r="F12" t="s">
        <v>470</v>
      </c>
      <c r="G12">
        <v>50</v>
      </c>
      <c r="H12" t="s">
        <v>94</v>
      </c>
      <c r="I12" t="s">
        <v>382</v>
      </c>
      <c r="J12">
        <v>200000</v>
      </c>
      <c r="K12">
        <v>3</v>
      </c>
      <c r="L12">
        <f>VLOOKUP(Merge1[[#This Row],[제품코드]],공정중_우선순위[[제품코드]:[우선순위]],4,0)</f>
        <v>3</v>
      </c>
      <c r="M12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3" spans="1:13" ht="67.5" x14ac:dyDescent="0.25">
      <c r="A13" t="s">
        <v>200</v>
      </c>
      <c r="B13" t="s">
        <v>468</v>
      </c>
      <c r="C13" t="s">
        <v>469</v>
      </c>
      <c r="D13" t="s">
        <v>90</v>
      </c>
      <c r="E13" t="s">
        <v>91</v>
      </c>
      <c r="F13" t="s">
        <v>470</v>
      </c>
      <c r="G13">
        <v>50</v>
      </c>
      <c r="H13" t="s">
        <v>94</v>
      </c>
      <c r="I13" t="s">
        <v>382</v>
      </c>
      <c r="J13">
        <v>200000</v>
      </c>
      <c r="K13">
        <v>3</v>
      </c>
      <c r="L13">
        <f>VLOOKUP(Merge1[[#This Row],[제품코드]],공정중_우선순위[[제품코드]:[우선순위]],4,0)</f>
        <v>3</v>
      </c>
      <c r="M13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4" spans="1:13" ht="67.5" x14ac:dyDescent="0.25">
      <c r="A14" t="s">
        <v>200</v>
      </c>
      <c r="B14" t="s">
        <v>468</v>
      </c>
      <c r="C14" t="s">
        <v>469</v>
      </c>
      <c r="D14" t="s">
        <v>90</v>
      </c>
      <c r="E14" t="s">
        <v>91</v>
      </c>
      <c r="F14" t="s">
        <v>470</v>
      </c>
      <c r="G14">
        <v>20</v>
      </c>
      <c r="H14" t="s">
        <v>92</v>
      </c>
      <c r="I14" t="s">
        <v>269</v>
      </c>
      <c r="J14">
        <v>200000</v>
      </c>
      <c r="K14">
        <v>13</v>
      </c>
      <c r="L14">
        <f>VLOOKUP(Merge1[[#This Row],[제품코드]],공정중_우선순위[[제품코드]:[우선순위]],4,0)</f>
        <v>3</v>
      </c>
      <c r="M14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5" spans="1:13" ht="67.5" x14ac:dyDescent="0.25">
      <c r="A15" t="s">
        <v>200</v>
      </c>
      <c r="B15" t="s">
        <v>468</v>
      </c>
      <c r="C15" t="s">
        <v>469</v>
      </c>
      <c r="D15" t="s">
        <v>90</v>
      </c>
      <c r="E15" t="s">
        <v>91</v>
      </c>
      <c r="F15" t="s">
        <v>470</v>
      </c>
      <c r="G15">
        <v>20</v>
      </c>
      <c r="H15" t="s">
        <v>92</v>
      </c>
      <c r="I15" t="s">
        <v>269</v>
      </c>
      <c r="J15">
        <v>200000</v>
      </c>
      <c r="K15">
        <v>13</v>
      </c>
      <c r="L15">
        <f>VLOOKUP(Merge1[[#This Row],[제품코드]],공정중_우선순위[[제품코드]:[우선순위]],4,0)</f>
        <v>3</v>
      </c>
      <c r="M15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6" spans="1:13" ht="67.5" x14ac:dyDescent="0.25">
      <c r="A16" t="s">
        <v>200</v>
      </c>
      <c r="B16" t="s">
        <v>468</v>
      </c>
      <c r="C16" t="s">
        <v>469</v>
      </c>
      <c r="D16" t="s">
        <v>90</v>
      </c>
      <c r="E16" t="s">
        <v>91</v>
      </c>
      <c r="F16" t="s">
        <v>470</v>
      </c>
      <c r="G16">
        <v>50</v>
      </c>
      <c r="H16" t="s">
        <v>94</v>
      </c>
      <c r="I16" t="s">
        <v>382</v>
      </c>
      <c r="J16">
        <v>200000</v>
      </c>
      <c r="K16">
        <v>3</v>
      </c>
      <c r="L16">
        <f>VLOOKUP(Merge1[[#This Row],[제품코드]],공정중_우선순위[[제품코드]:[우선순위]],4,0)</f>
        <v>3</v>
      </c>
      <c r="M16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7" spans="1:13" ht="67.5" x14ac:dyDescent="0.25">
      <c r="A17" t="s">
        <v>200</v>
      </c>
      <c r="B17" t="s">
        <v>468</v>
      </c>
      <c r="C17" t="s">
        <v>469</v>
      </c>
      <c r="D17" t="s">
        <v>90</v>
      </c>
      <c r="E17" t="s">
        <v>91</v>
      </c>
      <c r="F17" t="s">
        <v>470</v>
      </c>
      <c r="G17">
        <v>50</v>
      </c>
      <c r="H17" t="s">
        <v>94</v>
      </c>
      <c r="I17" t="s">
        <v>382</v>
      </c>
      <c r="J17">
        <v>200000</v>
      </c>
      <c r="K17">
        <v>3</v>
      </c>
      <c r="L17">
        <f>VLOOKUP(Merge1[[#This Row],[제품코드]],공정중_우선순위[[제품코드]:[우선순위]],4,0)</f>
        <v>3</v>
      </c>
      <c r="M17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18" spans="1:13" ht="67.5" x14ac:dyDescent="0.25">
      <c r="A18" t="s">
        <v>200</v>
      </c>
      <c r="B18" t="s">
        <v>477</v>
      </c>
      <c r="C18" t="s">
        <v>484</v>
      </c>
      <c r="D18" t="s">
        <v>100</v>
      </c>
      <c r="E18" t="s">
        <v>101</v>
      </c>
      <c r="F18" t="s">
        <v>485</v>
      </c>
      <c r="G18">
        <v>20</v>
      </c>
      <c r="H18" t="s">
        <v>92</v>
      </c>
      <c r="I18" t="s">
        <v>269</v>
      </c>
      <c r="J18">
        <v>300000</v>
      </c>
      <c r="K18">
        <v>15</v>
      </c>
      <c r="L18">
        <f>VLOOKUP(Merge1[[#This Row],[제품코드]],공정중_우선순위[[제품코드]:[우선순위]],4,0)</f>
        <v>4</v>
      </c>
      <c r="M18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19" spans="1:13" ht="67.5" x14ac:dyDescent="0.25">
      <c r="A19" t="s">
        <v>200</v>
      </c>
      <c r="B19" t="s">
        <v>477</v>
      </c>
      <c r="C19" t="s">
        <v>486</v>
      </c>
      <c r="D19" t="s">
        <v>100</v>
      </c>
      <c r="E19" t="s">
        <v>101</v>
      </c>
      <c r="F19" t="s">
        <v>487</v>
      </c>
      <c r="G19">
        <v>20</v>
      </c>
      <c r="H19" t="s">
        <v>92</v>
      </c>
      <c r="I19" t="s">
        <v>269</v>
      </c>
      <c r="J19">
        <v>300000</v>
      </c>
      <c r="K19">
        <v>15</v>
      </c>
      <c r="L19">
        <f>VLOOKUP(Merge1[[#This Row],[제품코드]],공정중_우선순위[[제품코드]:[우선순위]],4,0)</f>
        <v>4</v>
      </c>
      <c r="M19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20" spans="1:13" ht="67.5" x14ac:dyDescent="0.25">
      <c r="A20" t="s">
        <v>200</v>
      </c>
      <c r="B20" t="s">
        <v>477</v>
      </c>
      <c r="C20" t="s">
        <v>484</v>
      </c>
      <c r="D20" t="s">
        <v>100</v>
      </c>
      <c r="E20" t="s">
        <v>101</v>
      </c>
      <c r="F20" t="s">
        <v>485</v>
      </c>
      <c r="G20">
        <v>20</v>
      </c>
      <c r="H20" t="s">
        <v>92</v>
      </c>
      <c r="I20" t="s">
        <v>269</v>
      </c>
      <c r="J20">
        <v>300000</v>
      </c>
      <c r="K20">
        <v>15</v>
      </c>
      <c r="L20">
        <f>VLOOKUP(Merge1[[#This Row],[제품코드]],공정중_우선순위[[제품코드]:[우선순위]],4,0)</f>
        <v>4</v>
      </c>
      <c r="M20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21" spans="1:13" ht="67.5" x14ac:dyDescent="0.25">
      <c r="A21" t="s">
        <v>200</v>
      </c>
      <c r="B21" t="s">
        <v>477</v>
      </c>
      <c r="C21" t="s">
        <v>486</v>
      </c>
      <c r="D21" t="s">
        <v>100</v>
      </c>
      <c r="E21" t="s">
        <v>101</v>
      </c>
      <c r="F21" t="s">
        <v>487</v>
      </c>
      <c r="G21">
        <v>20</v>
      </c>
      <c r="H21" t="s">
        <v>92</v>
      </c>
      <c r="I21" t="s">
        <v>269</v>
      </c>
      <c r="J21">
        <v>300000</v>
      </c>
      <c r="K21">
        <v>15</v>
      </c>
      <c r="L21">
        <f>VLOOKUP(Merge1[[#This Row],[제품코드]],공정중_우선순위[[제품코드]:[우선순위]],4,0)</f>
        <v>4</v>
      </c>
      <c r="M21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22" spans="1:13" ht="67.5" x14ac:dyDescent="0.25">
      <c r="A22" t="s">
        <v>200</v>
      </c>
      <c r="B22" t="s">
        <v>477</v>
      </c>
      <c r="C22" t="s">
        <v>484</v>
      </c>
      <c r="D22" t="s">
        <v>100</v>
      </c>
      <c r="E22" t="s">
        <v>101</v>
      </c>
      <c r="F22" t="s">
        <v>485</v>
      </c>
      <c r="G22">
        <v>21</v>
      </c>
      <c r="H22" t="s">
        <v>93</v>
      </c>
      <c r="I22" t="s">
        <v>219</v>
      </c>
      <c r="J22">
        <v>300000</v>
      </c>
      <c r="K22">
        <v>18</v>
      </c>
      <c r="L22">
        <f>VLOOKUP(Merge1[[#This Row],[제품코드]],공정중_우선순위[[제품코드]:[우선순위]],4,0)</f>
        <v>4</v>
      </c>
      <c r="M22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23" spans="1:13" ht="67.5" x14ac:dyDescent="0.25">
      <c r="A23" t="s">
        <v>200</v>
      </c>
      <c r="B23" t="s">
        <v>477</v>
      </c>
      <c r="C23" t="s">
        <v>486</v>
      </c>
      <c r="D23" t="s">
        <v>100</v>
      </c>
      <c r="E23" t="s">
        <v>101</v>
      </c>
      <c r="F23" t="s">
        <v>487</v>
      </c>
      <c r="G23">
        <v>21</v>
      </c>
      <c r="H23" t="s">
        <v>93</v>
      </c>
      <c r="I23" t="s">
        <v>219</v>
      </c>
      <c r="J23">
        <v>300000</v>
      </c>
      <c r="K23">
        <v>18</v>
      </c>
      <c r="L23">
        <f>VLOOKUP(Merge1[[#This Row],[제품코드]],공정중_우선순위[[제품코드]:[우선순위]],4,0)</f>
        <v>4</v>
      </c>
      <c r="M23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24" spans="1:13" ht="67.5" x14ac:dyDescent="0.25">
      <c r="A24" t="s">
        <v>200</v>
      </c>
      <c r="B24" t="s">
        <v>477</v>
      </c>
      <c r="C24" t="s">
        <v>484</v>
      </c>
      <c r="D24" t="s">
        <v>100</v>
      </c>
      <c r="E24" t="s">
        <v>101</v>
      </c>
      <c r="F24" t="s">
        <v>485</v>
      </c>
      <c r="G24">
        <v>21</v>
      </c>
      <c r="H24" t="s">
        <v>93</v>
      </c>
      <c r="I24" t="s">
        <v>219</v>
      </c>
      <c r="J24">
        <v>300000</v>
      </c>
      <c r="K24">
        <v>18</v>
      </c>
      <c r="L24">
        <f>VLOOKUP(Merge1[[#This Row],[제품코드]],공정중_우선순위[[제품코드]:[우선순위]],4,0)</f>
        <v>4</v>
      </c>
      <c r="M24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25" spans="1:13" ht="67.5" x14ac:dyDescent="0.25">
      <c r="A25" t="s">
        <v>200</v>
      </c>
      <c r="B25" t="s">
        <v>477</v>
      </c>
      <c r="C25" t="s">
        <v>486</v>
      </c>
      <c r="D25" t="s">
        <v>100</v>
      </c>
      <c r="E25" t="s">
        <v>101</v>
      </c>
      <c r="F25" t="s">
        <v>487</v>
      </c>
      <c r="G25">
        <v>21</v>
      </c>
      <c r="H25" t="s">
        <v>93</v>
      </c>
      <c r="I25" t="s">
        <v>219</v>
      </c>
      <c r="J25">
        <v>300000</v>
      </c>
      <c r="K25">
        <v>18</v>
      </c>
      <c r="L25">
        <f>VLOOKUP(Merge1[[#This Row],[제품코드]],공정중_우선순위[[제품코드]:[우선순위]],4,0)</f>
        <v>4</v>
      </c>
      <c r="M25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26" spans="1:13" ht="67.5" x14ac:dyDescent="0.25">
      <c r="A26" t="s">
        <v>200</v>
      </c>
      <c r="B26" t="s">
        <v>477</v>
      </c>
      <c r="C26" t="s">
        <v>484</v>
      </c>
      <c r="D26" t="s">
        <v>100</v>
      </c>
      <c r="E26" t="s">
        <v>101</v>
      </c>
      <c r="F26" t="s">
        <v>485</v>
      </c>
      <c r="G26">
        <v>50</v>
      </c>
      <c r="H26" t="s">
        <v>94</v>
      </c>
      <c r="I26" t="s">
        <v>382</v>
      </c>
      <c r="J26">
        <v>300000</v>
      </c>
      <c r="K26">
        <v>3</v>
      </c>
      <c r="L26">
        <f>VLOOKUP(Merge1[[#This Row],[제품코드]],공정중_우선순위[[제품코드]:[우선순위]],4,0)</f>
        <v>4</v>
      </c>
      <c r="M26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27" spans="1:13" ht="67.5" x14ac:dyDescent="0.25">
      <c r="A27" t="s">
        <v>200</v>
      </c>
      <c r="B27" t="s">
        <v>477</v>
      </c>
      <c r="C27" t="s">
        <v>486</v>
      </c>
      <c r="D27" t="s">
        <v>100</v>
      </c>
      <c r="E27" t="s">
        <v>101</v>
      </c>
      <c r="F27" t="s">
        <v>487</v>
      </c>
      <c r="G27">
        <v>50</v>
      </c>
      <c r="H27" t="s">
        <v>94</v>
      </c>
      <c r="I27" t="s">
        <v>382</v>
      </c>
      <c r="J27">
        <v>300000</v>
      </c>
      <c r="K27">
        <v>3</v>
      </c>
      <c r="L27">
        <f>VLOOKUP(Merge1[[#This Row],[제품코드]],공정중_우선순위[[제품코드]:[우선순위]],4,0)</f>
        <v>4</v>
      </c>
      <c r="M27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28" spans="1:13" ht="67.5" x14ac:dyDescent="0.25">
      <c r="A28" t="s">
        <v>200</v>
      </c>
      <c r="B28" t="s">
        <v>477</v>
      </c>
      <c r="C28" t="s">
        <v>484</v>
      </c>
      <c r="D28" t="s">
        <v>100</v>
      </c>
      <c r="E28" t="s">
        <v>101</v>
      </c>
      <c r="F28" t="s">
        <v>485</v>
      </c>
      <c r="G28">
        <v>50</v>
      </c>
      <c r="H28" t="s">
        <v>94</v>
      </c>
      <c r="I28" t="s">
        <v>382</v>
      </c>
      <c r="J28">
        <v>300000</v>
      </c>
      <c r="K28">
        <v>3</v>
      </c>
      <c r="L28">
        <f>VLOOKUP(Merge1[[#This Row],[제품코드]],공정중_우선순위[[제품코드]:[우선순위]],4,0)</f>
        <v>4</v>
      </c>
      <c r="M28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29" spans="1:13" ht="67.5" x14ac:dyDescent="0.25">
      <c r="A29" t="s">
        <v>200</v>
      </c>
      <c r="B29" t="s">
        <v>477</v>
      </c>
      <c r="C29" t="s">
        <v>486</v>
      </c>
      <c r="D29" t="s">
        <v>100</v>
      </c>
      <c r="E29" t="s">
        <v>101</v>
      </c>
      <c r="F29" t="s">
        <v>487</v>
      </c>
      <c r="G29">
        <v>50</v>
      </c>
      <c r="H29" t="s">
        <v>94</v>
      </c>
      <c r="I29" t="s">
        <v>382</v>
      </c>
      <c r="J29">
        <v>300000</v>
      </c>
      <c r="K29">
        <v>3</v>
      </c>
      <c r="L29">
        <f>VLOOKUP(Merge1[[#This Row],[제품코드]],공정중_우선순위[[제품코드]:[우선순위]],4,0)</f>
        <v>4</v>
      </c>
      <c r="M29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30" spans="1:13" ht="67.5" x14ac:dyDescent="0.25">
      <c r="A30" t="s">
        <v>200</v>
      </c>
      <c r="B30" t="s">
        <v>477</v>
      </c>
      <c r="C30" t="s">
        <v>484</v>
      </c>
      <c r="D30" t="s">
        <v>100</v>
      </c>
      <c r="E30" t="s">
        <v>101</v>
      </c>
      <c r="F30" t="s">
        <v>485</v>
      </c>
      <c r="G30">
        <v>51</v>
      </c>
      <c r="H30" t="s">
        <v>95</v>
      </c>
      <c r="I30" t="s">
        <v>222</v>
      </c>
      <c r="J30">
        <v>300000</v>
      </c>
      <c r="K30">
        <v>3</v>
      </c>
      <c r="L30">
        <f>VLOOKUP(Merge1[[#This Row],[제품코드]],공정중_우선순위[[제품코드]:[우선순위]],4,0)</f>
        <v>4</v>
      </c>
      <c r="M30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31" spans="1:13" ht="67.5" x14ac:dyDescent="0.25">
      <c r="A31" t="s">
        <v>200</v>
      </c>
      <c r="B31" t="s">
        <v>477</v>
      </c>
      <c r="C31" t="s">
        <v>486</v>
      </c>
      <c r="D31" t="s">
        <v>100</v>
      </c>
      <c r="E31" t="s">
        <v>101</v>
      </c>
      <c r="F31" t="s">
        <v>487</v>
      </c>
      <c r="G31">
        <v>51</v>
      </c>
      <c r="H31" t="s">
        <v>95</v>
      </c>
      <c r="I31" t="s">
        <v>222</v>
      </c>
      <c r="J31">
        <v>300000</v>
      </c>
      <c r="K31">
        <v>3</v>
      </c>
      <c r="L31">
        <f>VLOOKUP(Merge1[[#This Row],[제품코드]],공정중_우선순위[[제품코드]:[우선순위]],4,0)</f>
        <v>4</v>
      </c>
      <c r="M31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32" spans="1:13" ht="67.5" x14ac:dyDescent="0.25">
      <c r="A32" t="s">
        <v>200</v>
      </c>
      <c r="B32" t="s">
        <v>477</v>
      </c>
      <c r="C32" t="s">
        <v>484</v>
      </c>
      <c r="D32" t="s">
        <v>100</v>
      </c>
      <c r="E32" t="s">
        <v>101</v>
      </c>
      <c r="F32" t="s">
        <v>485</v>
      </c>
      <c r="G32">
        <v>51</v>
      </c>
      <c r="H32" t="s">
        <v>95</v>
      </c>
      <c r="I32" t="s">
        <v>222</v>
      </c>
      <c r="J32">
        <v>300000</v>
      </c>
      <c r="K32">
        <v>3</v>
      </c>
      <c r="L32">
        <f>VLOOKUP(Merge1[[#This Row],[제품코드]],공정중_우선순위[[제품코드]:[우선순위]],4,0)</f>
        <v>4</v>
      </c>
      <c r="M32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33" spans="1:13" ht="67.5" x14ac:dyDescent="0.25">
      <c r="A33" t="s">
        <v>200</v>
      </c>
      <c r="B33" t="s">
        <v>477</v>
      </c>
      <c r="C33" t="s">
        <v>486</v>
      </c>
      <c r="D33" t="s">
        <v>100</v>
      </c>
      <c r="E33" t="s">
        <v>101</v>
      </c>
      <c r="F33" t="s">
        <v>487</v>
      </c>
      <c r="G33">
        <v>51</v>
      </c>
      <c r="H33" t="s">
        <v>95</v>
      </c>
      <c r="I33" t="s">
        <v>222</v>
      </c>
      <c r="J33">
        <v>300000</v>
      </c>
      <c r="K33">
        <v>3</v>
      </c>
      <c r="L33">
        <f>VLOOKUP(Merge1[[#This Row],[제품코드]],공정중_우선순위[[제품코드]:[우선순위]],4,0)</f>
        <v>4</v>
      </c>
      <c r="M33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34" spans="1:13" ht="67.5" x14ac:dyDescent="0.25">
      <c r="A34" t="s">
        <v>200</v>
      </c>
      <c r="B34" t="s">
        <v>477</v>
      </c>
      <c r="C34" t="s">
        <v>484</v>
      </c>
      <c r="D34" t="s">
        <v>100</v>
      </c>
      <c r="E34" t="s">
        <v>101</v>
      </c>
      <c r="F34" t="s">
        <v>485</v>
      </c>
      <c r="G34">
        <v>20</v>
      </c>
      <c r="H34" t="s">
        <v>92</v>
      </c>
      <c r="I34" t="s">
        <v>269</v>
      </c>
      <c r="J34">
        <v>300000</v>
      </c>
      <c r="K34">
        <v>15</v>
      </c>
      <c r="L34">
        <f>VLOOKUP(Merge1[[#This Row],[제품코드]],공정중_우선순위[[제품코드]:[우선순위]],4,0)</f>
        <v>4</v>
      </c>
      <c r="M34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35" spans="1:13" ht="67.5" x14ac:dyDescent="0.25">
      <c r="A35" t="s">
        <v>200</v>
      </c>
      <c r="B35" t="s">
        <v>477</v>
      </c>
      <c r="C35" t="s">
        <v>486</v>
      </c>
      <c r="D35" t="s">
        <v>100</v>
      </c>
      <c r="E35" t="s">
        <v>101</v>
      </c>
      <c r="F35" t="s">
        <v>487</v>
      </c>
      <c r="G35">
        <v>20</v>
      </c>
      <c r="H35" t="s">
        <v>92</v>
      </c>
      <c r="I35" t="s">
        <v>269</v>
      </c>
      <c r="J35">
        <v>300000</v>
      </c>
      <c r="K35">
        <v>15</v>
      </c>
      <c r="L35">
        <f>VLOOKUP(Merge1[[#This Row],[제품코드]],공정중_우선순위[[제품코드]:[우선순위]],4,0)</f>
        <v>4</v>
      </c>
      <c r="M35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36" spans="1:13" ht="67.5" x14ac:dyDescent="0.25">
      <c r="A36" t="s">
        <v>200</v>
      </c>
      <c r="B36" t="s">
        <v>477</v>
      </c>
      <c r="C36" t="s">
        <v>484</v>
      </c>
      <c r="D36" t="s">
        <v>100</v>
      </c>
      <c r="E36" t="s">
        <v>101</v>
      </c>
      <c r="F36" t="s">
        <v>485</v>
      </c>
      <c r="G36">
        <v>20</v>
      </c>
      <c r="H36" t="s">
        <v>92</v>
      </c>
      <c r="I36" t="s">
        <v>269</v>
      </c>
      <c r="J36">
        <v>300000</v>
      </c>
      <c r="K36">
        <v>15</v>
      </c>
      <c r="L36">
        <f>VLOOKUP(Merge1[[#This Row],[제품코드]],공정중_우선순위[[제품코드]:[우선순위]],4,0)</f>
        <v>4</v>
      </c>
      <c r="M36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37" spans="1:13" ht="67.5" x14ac:dyDescent="0.25">
      <c r="A37" t="s">
        <v>200</v>
      </c>
      <c r="B37" t="s">
        <v>477</v>
      </c>
      <c r="C37" t="s">
        <v>486</v>
      </c>
      <c r="D37" t="s">
        <v>100</v>
      </c>
      <c r="E37" t="s">
        <v>101</v>
      </c>
      <c r="F37" t="s">
        <v>487</v>
      </c>
      <c r="G37">
        <v>20</v>
      </c>
      <c r="H37" t="s">
        <v>92</v>
      </c>
      <c r="I37" t="s">
        <v>269</v>
      </c>
      <c r="J37">
        <v>300000</v>
      </c>
      <c r="K37">
        <v>15</v>
      </c>
      <c r="L37">
        <f>VLOOKUP(Merge1[[#This Row],[제품코드]],공정중_우선순위[[제품코드]:[우선순위]],4,0)</f>
        <v>4</v>
      </c>
      <c r="M37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38" spans="1:13" ht="67.5" x14ac:dyDescent="0.25">
      <c r="A38" t="s">
        <v>200</v>
      </c>
      <c r="B38" t="s">
        <v>477</v>
      </c>
      <c r="C38" t="s">
        <v>484</v>
      </c>
      <c r="D38" t="s">
        <v>100</v>
      </c>
      <c r="E38" t="s">
        <v>101</v>
      </c>
      <c r="F38" t="s">
        <v>485</v>
      </c>
      <c r="G38">
        <v>21</v>
      </c>
      <c r="H38" t="s">
        <v>93</v>
      </c>
      <c r="I38" t="s">
        <v>219</v>
      </c>
      <c r="J38">
        <v>300000</v>
      </c>
      <c r="K38">
        <v>15</v>
      </c>
      <c r="L38">
        <f>VLOOKUP(Merge1[[#This Row],[제품코드]],공정중_우선순위[[제품코드]:[우선순위]],4,0)</f>
        <v>4</v>
      </c>
      <c r="M38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39" spans="1:13" ht="67.5" x14ac:dyDescent="0.25">
      <c r="A39" t="s">
        <v>200</v>
      </c>
      <c r="B39" t="s">
        <v>477</v>
      </c>
      <c r="C39" t="s">
        <v>486</v>
      </c>
      <c r="D39" t="s">
        <v>100</v>
      </c>
      <c r="E39" t="s">
        <v>101</v>
      </c>
      <c r="F39" t="s">
        <v>487</v>
      </c>
      <c r="G39">
        <v>21</v>
      </c>
      <c r="H39" t="s">
        <v>93</v>
      </c>
      <c r="I39" t="s">
        <v>219</v>
      </c>
      <c r="J39">
        <v>300000</v>
      </c>
      <c r="K39">
        <v>15</v>
      </c>
      <c r="L39">
        <f>VLOOKUP(Merge1[[#This Row],[제품코드]],공정중_우선순위[[제품코드]:[우선순위]],4,0)</f>
        <v>4</v>
      </c>
      <c r="M39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40" spans="1:13" ht="67.5" x14ac:dyDescent="0.25">
      <c r="A40" t="s">
        <v>200</v>
      </c>
      <c r="B40" t="s">
        <v>477</v>
      </c>
      <c r="C40" t="s">
        <v>484</v>
      </c>
      <c r="D40" t="s">
        <v>100</v>
      </c>
      <c r="E40" t="s">
        <v>101</v>
      </c>
      <c r="F40" t="s">
        <v>485</v>
      </c>
      <c r="G40">
        <v>21</v>
      </c>
      <c r="H40" t="s">
        <v>93</v>
      </c>
      <c r="I40" t="s">
        <v>219</v>
      </c>
      <c r="J40">
        <v>300000</v>
      </c>
      <c r="K40">
        <v>15</v>
      </c>
      <c r="L40">
        <f>VLOOKUP(Merge1[[#This Row],[제품코드]],공정중_우선순위[[제품코드]:[우선순위]],4,0)</f>
        <v>4</v>
      </c>
      <c r="M40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41" spans="1:13" ht="67.5" x14ac:dyDescent="0.25">
      <c r="A41" t="s">
        <v>200</v>
      </c>
      <c r="B41" t="s">
        <v>477</v>
      </c>
      <c r="C41" t="s">
        <v>486</v>
      </c>
      <c r="D41" t="s">
        <v>100</v>
      </c>
      <c r="E41" t="s">
        <v>101</v>
      </c>
      <c r="F41" t="s">
        <v>487</v>
      </c>
      <c r="G41">
        <v>21</v>
      </c>
      <c r="H41" t="s">
        <v>93</v>
      </c>
      <c r="I41" t="s">
        <v>219</v>
      </c>
      <c r="J41">
        <v>300000</v>
      </c>
      <c r="K41">
        <v>15</v>
      </c>
      <c r="L41">
        <f>VLOOKUP(Merge1[[#This Row],[제품코드]],공정중_우선순위[[제품코드]:[우선순위]],4,0)</f>
        <v>4</v>
      </c>
      <c r="M41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42" spans="1:13" ht="67.5" x14ac:dyDescent="0.25">
      <c r="A42" t="s">
        <v>200</v>
      </c>
      <c r="B42" t="s">
        <v>477</v>
      </c>
      <c r="C42" t="s">
        <v>484</v>
      </c>
      <c r="D42" t="s">
        <v>100</v>
      </c>
      <c r="E42" t="s">
        <v>101</v>
      </c>
      <c r="F42" t="s">
        <v>485</v>
      </c>
      <c r="G42">
        <v>50</v>
      </c>
      <c r="H42" t="s">
        <v>94</v>
      </c>
      <c r="I42" t="s">
        <v>382</v>
      </c>
      <c r="J42">
        <v>300000</v>
      </c>
      <c r="K42">
        <v>3</v>
      </c>
      <c r="L42">
        <f>VLOOKUP(Merge1[[#This Row],[제품코드]],공정중_우선순위[[제품코드]:[우선순위]],4,0)</f>
        <v>4</v>
      </c>
      <c r="M42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43" spans="1:13" ht="67.5" x14ac:dyDescent="0.25">
      <c r="A43" t="s">
        <v>200</v>
      </c>
      <c r="B43" t="s">
        <v>477</v>
      </c>
      <c r="C43" t="s">
        <v>486</v>
      </c>
      <c r="D43" t="s">
        <v>100</v>
      </c>
      <c r="E43" t="s">
        <v>101</v>
      </c>
      <c r="F43" t="s">
        <v>487</v>
      </c>
      <c r="G43">
        <v>50</v>
      </c>
      <c r="H43" t="s">
        <v>94</v>
      </c>
      <c r="I43" t="s">
        <v>382</v>
      </c>
      <c r="J43">
        <v>300000</v>
      </c>
      <c r="K43">
        <v>3</v>
      </c>
      <c r="L43">
        <f>VLOOKUP(Merge1[[#This Row],[제품코드]],공정중_우선순위[[제품코드]:[우선순위]],4,0)</f>
        <v>4</v>
      </c>
      <c r="M43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44" spans="1:13" ht="67.5" x14ac:dyDescent="0.25">
      <c r="A44" t="s">
        <v>200</v>
      </c>
      <c r="B44" t="s">
        <v>477</v>
      </c>
      <c r="C44" t="s">
        <v>484</v>
      </c>
      <c r="D44" t="s">
        <v>100</v>
      </c>
      <c r="E44" t="s">
        <v>101</v>
      </c>
      <c r="F44" t="s">
        <v>485</v>
      </c>
      <c r="G44">
        <v>50</v>
      </c>
      <c r="H44" t="s">
        <v>94</v>
      </c>
      <c r="I44" t="s">
        <v>382</v>
      </c>
      <c r="J44">
        <v>300000</v>
      </c>
      <c r="K44">
        <v>3</v>
      </c>
      <c r="L44">
        <f>VLOOKUP(Merge1[[#This Row],[제품코드]],공정중_우선순위[[제품코드]:[우선순위]],4,0)</f>
        <v>4</v>
      </c>
      <c r="M44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45" spans="1:13" ht="67.5" x14ac:dyDescent="0.25">
      <c r="A45" t="s">
        <v>200</v>
      </c>
      <c r="B45" t="s">
        <v>477</v>
      </c>
      <c r="C45" t="s">
        <v>486</v>
      </c>
      <c r="D45" t="s">
        <v>100</v>
      </c>
      <c r="E45" t="s">
        <v>101</v>
      </c>
      <c r="F45" t="s">
        <v>487</v>
      </c>
      <c r="G45">
        <v>50</v>
      </c>
      <c r="H45" t="s">
        <v>94</v>
      </c>
      <c r="I45" t="s">
        <v>382</v>
      </c>
      <c r="J45">
        <v>300000</v>
      </c>
      <c r="K45">
        <v>3</v>
      </c>
      <c r="L45">
        <f>VLOOKUP(Merge1[[#This Row],[제품코드]],공정중_우선순위[[제품코드]:[우선순위]],4,0)</f>
        <v>4</v>
      </c>
      <c r="M45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46" spans="1:13" ht="67.5" x14ac:dyDescent="0.25">
      <c r="A46" t="s">
        <v>200</v>
      </c>
      <c r="B46" t="s">
        <v>477</v>
      </c>
      <c r="C46" t="s">
        <v>484</v>
      </c>
      <c r="D46" t="s">
        <v>100</v>
      </c>
      <c r="E46" t="s">
        <v>101</v>
      </c>
      <c r="F46" t="s">
        <v>485</v>
      </c>
      <c r="G46">
        <v>51</v>
      </c>
      <c r="H46" t="s">
        <v>95</v>
      </c>
      <c r="I46" t="s">
        <v>222</v>
      </c>
      <c r="J46">
        <v>300000</v>
      </c>
      <c r="K46">
        <v>3</v>
      </c>
      <c r="L46">
        <f>VLOOKUP(Merge1[[#This Row],[제품코드]],공정중_우선순위[[제품코드]:[우선순위]],4,0)</f>
        <v>4</v>
      </c>
      <c r="M46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47" spans="1:13" ht="67.5" x14ac:dyDescent="0.25">
      <c r="A47" t="s">
        <v>200</v>
      </c>
      <c r="B47" t="s">
        <v>477</v>
      </c>
      <c r="C47" t="s">
        <v>486</v>
      </c>
      <c r="D47" t="s">
        <v>100</v>
      </c>
      <c r="E47" t="s">
        <v>101</v>
      </c>
      <c r="F47" t="s">
        <v>487</v>
      </c>
      <c r="G47">
        <v>51</v>
      </c>
      <c r="H47" t="s">
        <v>95</v>
      </c>
      <c r="I47" t="s">
        <v>222</v>
      </c>
      <c r="J47">
        <v>300000</v>
      </c>
      <c r="K47">
        <v>3</v>
      </c>
      <c r="L47">
        <f>VLOOKUP(Merge1[[#This Row],[제품코드]],공정중_우선순위[[제품코드]:[우선순위]],4,0)</f>
        <v>4</v>
      </c>
      <c r="M47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48" spans="1:13" ht="67.5" x14ac:dyDescent="0.25">
      <c r="A48" t="s">
        <v>200</v>
      </c>
      <c r="B48" t="s">
        <v>477</v>
      </c>
      <c r="C48" t="s">
        <v>484</v>
      </c>
      <c r="D48" t="s">
        <v>100</v>
      </c>
      <c r="E48" t="s">
        <v>101</v>
      </c>
      <c r="F48" t="s">
        <v>485</v>
      </c>
      <c r="G48">
        <v>51</v>
      </c>
      <c r="H48" t="s">
        <v>95</v>
      </c>
      <c r="I48" t="s">
        <v>222</v>
      </c>
      <c r="J48">
        <v>300000</v>
      </c>
      <c r="K48">
        <v>3</v>
      </c>
      <c r="L48">
        <f>VLOOKUP(Merge1[[#This Row],[제품코드]],공정중_우선순위[[제품코드]:[우선순위]],4,0)</f>
        <v>4</v>
      </c>
      <c r="M48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49" spans="1:13" ht="67.5" x14ac:dyDescent="0.25">
      <c r="A49" t="s">
        <v>200</v>
      </c>
      <c r="B49" t="s">
        <v>477</v>
      </c>
      <c r="C49" t="s">
        <v>486</v>
      </c>
      <c r="D49" t="s">
        <v>100</v>
      </c>
      <c r="E49" t="s">
        <v>101</v>
      </c>
      <c r="F49" t="s">
        <v>487</v>
      </c>
      <c r="G49">
        <v>51</v>
      </c>
      <c r="H49" t="s">
        <v>95</v>
      </c>
      <c r="I49" t="s">
        <v>222</v>
      </c>
      <c r="J49">
        <v>300000</v>
      </c>
      <c r="K49">
        <v>3</v>
      </c>
      <c r="L49">
        <f>VLOOKUP(Merge1[[#This Row],[제품코드]],공정중_우선순위[[제품코드]:[우선순위]],4,0)</f>
        <v>4</v>
      </c>
      <c r="M49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50" spans="1:13" ht="67.5" x14ac:dyDescent="0.25">
      <c r="A50" t="s">
        <v>200</v>
      </c>
      <c r="B50" t="s">
        <v>477</v>
      </c>
      <c r="C50" t="s">
        <v>478</v>
      </c>
      <c r="D50" t="s">
        <v>96</v>
      </c>
      <c r="E50" t="s">
        <v>97</v>
      </c>
      <c r="F50" t="s">
        <v>479</v>
      </c>
      <c r="G50">
        <v>20</v>
      </c>
      <c r="H50" t="s">
        <v>92</v>
      </c>
      <c r="I50" t="s">
        <v>269</v>
      </c>
      <c r="J50">
        <v>300000</v>
      </c>
      <c r="K50">
        <v>15</v>
      </c>
      <c r="L50">
        <f>VLOOKUP(Merge1[[#This Row],[제품코드]],공정중_우선순위[[제품코드]:[우선순위]],4,0)</f>
        <v>5</v>
      </c>
      <c r="M50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1" spans="1:13" ht="67.5" x14ac:dyDescent="0.25">
      <c r="A51" t="s">
        <v>200</v>
      </c>
      <c r="B51" t="s">
        <v>477</v>
      </c>
      <c r="C51" t="s">
        <v>478</v>
      </c>
      <c r="D51" t="s">
        <v>96</v>
      </c>
      <c r="E51" t="s">
        <v>97</v>
      </c>
      <c r="F51" t="s">
        <v>479</v>
      </c>
      <c r="G51">
        <v>20</v>
      </c>
      <c r="H51" t="s">
        <v>92</v>
      </c>
      <c r="I51" t="s">
        <v>269</v>
      </c>
      <c r="J51">
        <v>300000</v>
      </c>
      <c r="K51">
        <v>15</v>
      </c>
      <c r="L51">
        <f>VLOOKUP(Merge1[[#This Row],[제품코드]],공정중_우선순위[[제품코드]:[우선순위]],4,0)</f>
        <v>5</v>
      </c>
      <c r="M51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2" spans="1:13" ht="67.5" x14ac:dyDescent="0.25">
      <c r="A52" t="s">
        <v>200</v>
      </c>
      <c r="B52" t="s">
        <v>477</v>
      </c>
      <c r="C52" t="s">
        <v>478</v>
      </c>
      <c r="D52" t="s">
        <v>96</v>
      </c>
      <c r="E52" t="s">
        <v>97</v>
      </c>
      <c r="F52" t="s">
        <v>479</v>
      </c>
      <c r="G52">
        <v>21</v>
      </c>
      <c r="H52" t="s">
        <v>93</v>
      </c>
      <c r="I52" t="s">
        <v>219</v>
      </c>
      <c r="J52">
        <v>300000</v>
      </c>
      <c r="K52">
        <v>15</v>
      </c>
      <c r="L52">
        <f>VLOOKUP(Merge1[[#This Row],[제품코드]],공정중_우선순위[[제품코드]:[우선순위]],4,0)</f>
        <v>5</v>
      </c>
      <c r="M52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3" spans="1:13" ht="67.5" x14ac:dyDescent="0.25">
      <c r="A53" t="s">
        <v>200</v>
      </c>
      <c r="B53" t="s">
        <v>477</v>
      </c>
      <c r="C53" t="s">
        <v>478</v>
      </c>
      <c r="D53" t="s">
        <v>96</v>
      </c>
      <c r="E53" t="s">
        <v>97</v>
      </c>
      <c r="F53" t="s">
        <v>479</v>
      </c>
      <c r="G53">
        <v>21</v>
      </c>
      <c r="H53" t="s">
        <v>93</v>
      </c>
      <c r="I53" t="s">
        <v>219</v>
      </c>
      <c r="J53">
        <v>300000</v>
      </c>
      <c r="K53">
        <v>15</v>
      </c>
      <c r="L53">
        <f>VLOOKUP(Merge1[[#This Row],[제품코드]],공정중_우선순위[[제품코드]:[우선순위]],4,0)</f>
        <v>5</v>
      </c>
      <c r="M53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4" spans="1:13" ht="67.5" x14ac:dyDescent="0.25">
      <c r="A54" t="s">
        <v>200</v>
      </c>
      <c r="B54" t="s">
        <v>477</v>
      </c>
      <c r="C54" t="s">
        <v>478</v>
      </c>
      <c r="D54" t="s">
        <v>96</v>
      </c>
      <c r="E54" t="s">
        <v>97</v>
      </c>
      <c r="F54" t="s">
        <v>479</v>
      </c>
      <c r="G54">
        <v>50</v>
      </c>
      <c r="H54" t="s">
        <v>94</v>
      </c>
      <c r="I54" t="s">
        <v>382</v>
      </c>
      <c r="J54">
        <v>300000</v>
      </c>
      <c r="K54">
        <v>3</v>
      </c>
      <c r="L54">
        <f>VLOOKUP(Merge1[[#This Row],[제품코드]],공정중_우선순위[[제품코드]:[우선순위]],4,0)</f>
        <v>5</v>
      </c>
      <c r="M54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5" spans="1:13" ht="67.5" x14ac:dyDescent="0.25">
      <c r="A55" t="s">
        <v>200</v>
      </c>
      <c r="B55" t="s">
        <v>477</v>
      </c>
      <c r="C55" t="s">
        <v>478</v>
      </c>
      <c r="D55" t="s">
        <v>96</v>
      </c>
      <c r="E55" t="s">
        <v>97</v>
      </c>
      <c r="F55" t="s">
        <v>479</v>
      </c>
      <c r="G55">
        <v>50</v>
      </c>
      <c r="H55" t="s">
        <v>94</v>
      </c>
      <c r="I55" t="s">
        <v>382</v>
      </c>
      <c r="J55">
        <v>300000</v>
      </c>
      <c r="K55">
        <v>3</v>
      </c>
      <c r="L55">
        <f>VLOOKUP(Merge1[[#This Row],[제품코드]],공정중_우선순위[[제품코드]:[우선순위]],4,0)</f>
        <v>5</v>
      </c>
      <c r="M55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6" spans="1:13" ht="67.5" x14ac:dyDescent="0.25">
      <c r="A56" t="s">
        <v>200</v>
      </c>
      <c r="B56" t="s">
        <v>477</v>
      </c>
      <c r="C56" t="s">
        <v>478</v>
      </c>
      <c r="D56" t="s">
        <v>96</v>
      </c>
      <c r="E56" t="s">
        <v>97</v>
      </c>
      <c r="F56" t="s">
        <v>479</v>
      </c>
      <c r="G56">
        <v>51</v>
      </c>
      <c r="H56" t="s">
        <v>95</v>
      </c>
      <c r="I56" t="s">
        <v>222</v>
      </c>
      <c r="J56">
        <v>300000</v>
      </c>
      <c r="K56">
        <v>3</v>
      </c>
      <c r="L56">
        <f>VLOOKUP(Merge1[[#This Row],[제품코드]],공정중_우선순위[[제품코드]:[우선순위]],4,0)</f>
        <v>5</v>
      </c>
      <c r="M56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7" spans="1:13" ht="67.5" x14ac:dyDescent="0.25">
      <c r="A57" t="s">
        <v>200</v>
      </c>
      <c r="B57" t="s">
        <v>477</v>
      </c>
      <c r="C57" t="s">
        <v>478</v>
      </c>
      <c r="D57" t="s">
        <v>96</v>
      </c>
      <c r="E57" t="s">
        <v>97</v>
      </c>
      <c r="F57" t="s">
        <v>479</v>
      </c>
      <c r="G57">
        <v>51</v>
      </c>
      <c r="H57" t="s">
        <v>95</v>
      </c>
      <c r="I57" t="s">
        <v>222</v>
      </c>
      <c r="J57">
        <v>300000</v>
      </c>
      <c r="K57">
        <v>3</v>
      </c>
      <c r="L57">
        <f>VLOOKUP(Merge1[[#This Row],[제품코드]],공정중_우선순위[[제품코드]:[우선순위]],4,0)</f>
        <v>5</v>
      </c>
      <c r="M57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8" spans="1:13" ht="67.5" x14ac:dyDescent="0.25">
      <c r="A58" t="s">
        <v>200</v>
      </c>
      <c r="B58" t="s">
        <v>477</v>
      </c>
      <c r="C58" t="s">
        <v>478</v>
      </c>
      <c r="D58" t="s">
        <v>96</v>
      </c>
      <c r="E58" t="s">
        <v>97</v>
      </c>
      <c r="F58" t="s">
        <v>479</v>
      </c>
      <c r="G58">
        <v>20</v>
      </c>
      <c r="H58" t="s">
        <v>92</v>
      </c>
      <c r="I58" t="s">
        <v>269</v>
      </c>
      <c r="J58">
        <v>300000</v>
      </c>
      <c r="K58">
        <v>15</v>
      </c>
      <c r="L58">
        <f>VLOOKUP(Merge1[[#This Row],[제품코드]],공정중_우선순위[[제품코드]:[우선순위]],4,0)</f>
        <v>5</v>
      </c>
      <c r="M58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59" spans="1:13" ht="67.5" x14ac:dyDescent="0.25">
      <c r="A59" t="s">
        <v>200</v>
      </c>
      <c r="B59" t="s">
        <v>477</v>
      </c>
      <c r="C59" t="s">
        <v>478</v>
      </c>
      <c r="D59" t="s">
        <v>96</v>
      </c>
      <c r="E59" t="s">
        <v>97</v>
      </c>
      <c r="F59" t="s">
        <v>479</v>
      </c>
      <c r="G59">
        <v>20</v>
      </c>
      <c r="H59" t="s">
        <v>92</v>
      </c>
      <c r="I59" t="s">
        <v>269</v>
      </c>
      <c r="J59">
        <v>300000</v>
      </c>
      <c r="K59">
        <v>15</v>
      </c>
      <c r="L59">
        <f>VLOOKUP(Merge1[[#This Row],[제품코드]],공정중_우선순위[[제품코드]:[우선순위]],4,0)</f>
        <v>5</v>
      </c>
      <c r="M59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60" spans="1:13" ht="67.5" x14ac:dyDescent="0.25">
      <c r="A60" t="s">
        <v>200</v>
      </c>
      <c r="B60" t="s">
        <v>477</v>
      </c>
      <c r="C60" t="s">
        <v>478</v>
      </c>
      <c r="D60" t="s">
        <v>96</v>
      </c>
      <c r="E60" t="s">
        <v>97</v>
      </c>
      <c r="F60" t="s">
        <v>479</v>
      </c>
      <c r="G60">
        <v>21</v>
      </c>
      <c r="H60" t="s">
        <v>93</v>
      </c>
      <c r="I60" t="s">
        <v>219</v>
      </c>
      <c r="J60">
        <v>300000</v>
      </c>
      <c r="K60">
        <v>18</v>
      </c>
      <c r="L60">
        <f>VLOOKUP(Merge1[[#This Row],[제품코드]],공정중_우선순위[[제품코드]:[우선순위]],4,0)</f>
        <v>5</v>
      </c>
      <c r="M60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61" spans="1:13" ht="67.5" x14ac:dyDescent="0.25">
      <c r="A61" t="s">
        <v>200</v>
      </c>
      <c r="B61" t="s">
        <v>477</v>
      </c>
      <c r="C61" t="s">
        <v>478</v>
      </c>
      <c r="D61" t="s">
        <v>96</v>
      </c>
      <c r="E61" t="s">
        <v>97</v>
      </c>
      <c r="F61" t="s">
        <v>479</v>
      </c>
      <c r="G61">
        <v>21</v>
      </c>
      <c r="H61" t="s">
        <v>93</v>
      </c>
      <c r="I61" t="s">
        <v>219</v>
      </c>
      <c r="J61">
        <v>300000</v>
      </c>
      <c r="K61">
        <v>18</v>
      </c>
      <c r="L61">
        <f>VLOOKUP(Merge1[[#This Row],[제품코드]],공정중_우선순위[[제품코드]:[우선순위]],4,0)</f>
        <v>5</v>
      </c>
      <c r="M61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62" spans="1:13" ht="67.5" x14ac:dyDescent="0.25">
      <c r="A62" t="s">
        <v>200</v>
      </c>
      <c r="B62" t="s">
        <v>477</v>
      </c>
      <c r="C62" t="s">
        <v>478</v>
      </c>
      <c r="D62" t="s">
        <v>96</v>
      </c>
      <c r="E62" t="s">
        <v>97</v>
      </c>
      <c r="F62" t="s">
        <v>479</v>
      </c>
      <c r="G62">
        <v>50</v>
      </c>
      <c r="H62" t="s">
        <v>94</v>
      </c>
      <c r="I62" t="s">
        <v>382</v>
      </c>
      <c r="J62">
        <v>300000</v>
      </c>
      <c r="K62">
        <v>3</v>
      </c>
      <c r="L62">
        <f>VLOOKUP(Merge1[[#This Row],[제품코드]],공정중_우선순위[[제품코드]:[우선순위]],4,0)</f>
        <v>5</v>
      </c>
      <c r="M62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63" spans="1:13" ht="67.5" x14ac:dyDescent="0.25">
      <c r="A63" t="s">
        <v>200</v>
      </c>
      <c r="B63" t="s">
        <v>477</v>
      </c>
      <c r="C63" t="s">
        <v>478</v>
      </c>
      <c r="D63" t="s">
        <v>96</v>
      </c>
      <c r="E63" t="s">
        <v>97</v>
      </c>
      <c r="F63" t="s">
        <v>479</v>
      </c>
      <c r="G63">
        <v>50</v>
      </c>
      <c r="H63" t="s">
        <v>94</v>
      </c>
      <c r="I63" t="s">
        <v>382</v>
      </c>
      <c r="J63">
        <v>300000</v>
      </c>
      <c r="K63">
        <v>3</v>
      </c>
      <c r="L63">
        <f>VLOOKUP(Merge1[[#This Row],[제품코드]],공정중_우선순위[[제품코드]:[우선순위]],4,0)</f>
        <v>5</v>
      </c>
      <c r="M63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64" spans="1:13" ht="67.5" x14ac:dyDescent="0.25">
      <c r="A64" t="s">
        <v>200</v>
      </c>
      <c r="B64" t="s">
        <v>477</v>
      </c>
      <c r="C64" t="s">
        <v>478</v>
      </c>
      <c r="D64" t="s">
        <v>96</v>
      </c>
      <c r="E64" t="s">
        <v>97</v>
      </c>
      <c r="F64" t="s">
        <v>479</v>
      </c>
      <c r="G64">
        <v>51</v>
      </c>
      <c r="H64" t="s">
        <v>95</v>
      </c>
      <c r="I64" t="s">
        <v>222</v>
      </c>
      <c r="J64">
        <v>300000</v>
      </c>
      <c r="K64">
        <v>3</v>
      </c>
      <c r="L64">
        <f>VLOOKUP(Merge1[[#This Row],[제품코드]],공정중_우선순위[[제품코드]:[우선순위]],4,0)</f>
        <v>5</v>
      </c>
      <c r="M64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65" spans="1:13" ht="67.5" x14ac:dyDescent="0.25">
      <c r="A65" t="s">
        <v>200</v>
      </c>
      <c r="B65" t="s">
        <v>477</v>
      </c>
      <c r="C65" t="s">
        <v>478</v>
      </c>
      <c r="D65" t="s">
        <v>96</v>
      </c>
      <c r="E65" t="s">
        <v>97</v>
      </c>
      <c r="F65" t="s">
        <v>479</v>
      </c>
      <c r="G65">
        <v>51</v>
      </c>
      <c r="H65" t="s">
        <v>95</v>
      </c>
      <c r="I65" t="s">
        <v>222</v>
      </c>
      <c r="J65">
        <v>300000</v>
      </c>
      <c r="K65">
        <v>3</v>
      </c>
      <c r="L65">
        <f>VLOOKUP(Merge1[[#This Row],[제품코드]],공정중_우선순위[[제품코드]:[우선순위]],4,0)</f>
        <v>5</v>
      </c>
      <c r="M65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66" spans="1:13" ht="54" x14ac:dyDescent="0.25">
      <c r="A66" t="s">
        <v>200</v>
      </c>
      <c r="B66" t="s">
        <v>418</v>
      </c>
      <c r="C66" t="s">
        <v>531</v>
      </c>
      <c r="D66" t="s">
        <v>116</v>
      </c>
      <c r="E66" t="s">
        <v>117</v>
      </c>
      <c r="F66" t="s">
        <v>532</v>
      </c>
      <c r="G66">
        <v>110</v>
      </c>
      <c r="H66" t="s">
        <v>6</v>
      </c>
      <c r="I66" t="s">
        <v>234</v>
      </c>
      <c r="J66">
        <v>400000</v>
      </c>
      <c r="K66">
        <v>9</v>
      </c>
      <c r="L66">
        <f>VLOOKUP(Merge1[[#This Row],[제품코드]],공정중_우선순위[[제품코드]:[우선순위]],4,0)</f>
        <v>6</v>
      </c>
      <c r="M66" s="10" t="str">
        <f>_xlfn.TEXTJOIN(CHAR(10), TRUE, ,Merge1[[#This Row],[제품명]],Merge1[[#This Row],[오더번호]],Merge1[[#This Row],[제조번호]],Merge1[[#This Row],[지시수량]])</f>
        <v>네오다파정10mg 반제품(녹십자)
1014951
1164047
400000</v>
      </c>
    </row>
    <row r="67" spans="1:13" ht="54" x14ac:dyDescent="0.25">
      <c r="A67" t="s">
        <v>200</v>
      </c>
      <c r="B67" t="s">
        <v>418</v>
      </c>
      <c r="C67" t="s">
        <v>533</v>
      </c>
      <c r="D67" t="s">
        <v>116</v>
      </c>
      <c r="E67" t="s">
        <v>117</v>
      </c>
      <c r="F67" t="s">
        <v>534</v>
      </c>
      <c r="G67">
        <v>110</v>
      </c>
      <c r="H67" t="s">
        <v>6</v>
      </c>
      <c r="I67" t="s">
        <v>234</v>
      </c>
      <c r="J67">
        <v>400000</v>
      </c>
      <c r="K67">
        <v>9</v>
      </c>
      <c r="L67">
        <f>VLOOKUP(Merge1[[#This Row],[제품코드]],공정중_우선순위[[제품코드]:[우선순위]],4,0)</f>
        <v>6</v>
      </c>
      <c r="M67" s="10" t="str">
        <f>_xlfn.TEXTJOIN(CHAR(10), TRUE, ,Merge1[[#This Row],[제품명]],Merge1[[#This Row],[오더번호]],Merge1[[#This Row],[제조번호]],Merge1[[#This Row],[지시수량]])</f>
        <v>네오다파정10mg 반제품(녹십자)
1014952
1164048
400000</v>
      </c>
    </row>
    <row r="68" spans="1:13" ht="54" x14ac:dyDescent="0.25">
      <c r="A68" t="s">
        <v>200</v>
      </c>
      <c r="B68" t="s">
        <v>418</v>
      </c>
      <c r="C68" t="s">
        <v>535</v>
      </c>
      <c r="D68" t="s">
        <v>116</v>
      </c>
      <c r="E68" t="s">
        <v>117</v>
      </c>
      <c r="F68" t="s">
        <v>536</v>
      </c>
      <c r="G68">
        <v>110</v>
      </c>
      <c r="H68" t="s">
        <v>6</v>
      </c>
      <c r="I68" t="s">
        <v>234</v>
      </c>
      <c r="J68">
        <v>400000</v>
      </c>
      <c r="K68">
        <v>9</v>
      </c>
      <c r="L68">
        <f>VLOOKUP(Merge1[[#This Row],[제품코드]],공정중_우선순위[[제품코드]:[우선순위]],4,0)</f>
        <v>6</v>
      </c>
      <c r="M68" s="10" t="str">
        <f>_xlfn.TEXTJOIN(CHAR(10), TRUE, ,Merge1[[#This Row],[제품명]],Merge1[[#This Row],[오더번호]],Merge1[[#This Row],[제조번호]],Merge1[[#This Row],[지시수량]])</f>
        <v>네오다파정10mg 반제품(녹십자)
1014953
1164049
400000</v>
      </c>
    </row>
    <row r="69" spans="1:13" ht="54" x14ac:dyDescent="0.25">
      <c r="A69" t="s">
        <v>200</v>
      </c>
      <c r="B69" t="s">
        <v>418</v>
      </c>
      <c r="C69" t="s">
        <v>419</v>
      </c>
      <c r="D69" t="s">
        <v>82</v>
      </c>
      <c r="E69" t="s">
        <v>83</v>
      </c>
      <c r="F69" t="s">
        <v>420</v>
      </c>
      <c r="G69">
        <v>80</v>
      </c>
      <c r="H69" t="s">
        <v>9</v>
      </c>
      <c r="I69" t="s">
        <v>232</v>
      </c>
      <c r="J69">
        <v>400000</v>
      </c>
      <c r="K69">
        <v>12</v>
      </c>
      <c r="L69">
        <f>VLOOKUP(Merge1[[#This Row],[제품코드]],공정중_우선순위[[제품코드]:[우선순위]],4,0)</f>
        <v>7</v>
      </c>
      <c r="M69" s="10" t="str">
        <f>_xlfn.TEXTJOIN(CHAR(10), TRUE, ,Merge1[[#This Row],[제품명]],Merge1[[#This Row],[오더번호]],Merge1[[#This Row],[제조번호]],Merge1[[#This Row],[지시수량]])</f>
        <v>다파릴정10mg 반제품
1015038
A002809
400000</v>
      </c>
    </row>
    <row r="70" spans="1:13" ht="54" x14ac:dyDescent="0.25">
      <c r="A70" t="s">
        <v>200</v>
      </c>
      <c r="B70" t="s">
        <v>418</v>
      </c>
      <c r="C70" t="s">
        <v>421</v>
      </c>
      <c r="D70" t="s">
        <v>82</v>
      </c>
      <c r="E70" t="s">
        <v>83</v>
      </c>
      <c r="F70" t="s">
        <v>422</v>
      </c>
      <c r="G70">
        <v>80</v>
      </c>
      <c r="H70" t="s">
        <v>9</v>
      </c>
      <c r="I70" t="s">
        <v>232</v>
      </c>
      <c r="J70">
        <v>400000</v>
      </c>
      <c r="K70">
        <v>12</v>
      </c>
      <c r="L70">
        <f>VLOOKUP(Merge1[[#This Row],[제품코드]],공정중_우선순위[[제품코드]:[우선순위]],4,0)</f>
        <v>7</v>
      </c>
      <c r="M70" s="10" t="str">
        <f>_xlfn.TEXTJOIN(CHAR(10), TRUE, ,Merge1[[#This Row],[제품명]],Merge1[[#This Row],[오더번호]],Merge1[[#This Row],[제조번호]],Merge1[[#This Row],[지시수량]])</f>
        <v>다파릴정10mg 반제품
1015175
A002851
400000</v>
      </c>
    </row>
    <row r="71" spans="1:13" ht="54" x14ac:dyDescent="0.25">
      <c r="A71" t="s">
        <v>200</v>
      </c>
      <c r="B71" t="s">
        <v>418</v>
      </c>
      <c r="C71" t="s">
        <v>423</v>
      </c>
      <c r="D71" t="s">
        <v>82</v>
      </c>
      <c r="E71" t="s">
        <v>83</v>
      </c>
      <c r="F71" t="s">
        <v>424</v>
      </c>
      <c r="G71">
        <v>80</v>
      </c>
      <c r="H71" t="s">
        <v>9</v>
      </c>
      <c r="I71" t="s">
        <v>232</v>
      </c>
      <c r="J71">
        <v>400000</v>
      </c>
      <c r="K71">
        <v>12</v>
      </c>
      <c r="L71">
        <f>VLOOKUP(Merge1[[#This Row],[제품코드]],공정중_우선순위[[제품코드]:[우선순위]],4,0)</f>
        <v>7</v>
      </c>
      <c r="M71" s="10" t="str">
        <f>_xlfn.TEXTJOIN(CHAR(10), TRUE, ,Merge1[[#This Row],[제품명]],Merge1[[#This Row],[오더번호]],Merge1[[#This Row],[제조번호]],Merge1[[#This Row],[지시수량]])</f>
        <v>다파릴정10mg 반제품
1015176
A002852
400000</v>
      </c>
    </row>
    <row r="72" spans="1:13" ht="54" x14ac:dyDescent="0.25">
      <c r="A72" t="s">
        <v>200</v>
      </c>
      <c r="B72" t="s">
        <v>418</v>
      </c>
      <c r="C72" t="s">
        <v>425</v>
      </c>
      <c r="D72" t="s">
        <v>82</v>
      </c>
      <c r="E72" t="s">
        <v>83</v>
      </c>
      <c r="F72" t="s">
        <v>426</v>
      </c>
      <c r="G72">
        <v>80</v>
      </c>
      <c r="H72" t="s">
        <v>9</v>
      </c>
      <c r="I72" t="s">
        <v>232</v>
      </c>
      <c r="J72">
        <v>400000</v>
      </c>
      <c r="K72">
        <v>12</v>
      </c>
      <c r="L72">
        <f>VLOOKUP(Merge1[[#This Row],[제품코드]],공정중_우선순위[[제품코드]:[우선순위]],4,0)</f>
        <v>7</v>
      </c>
      <c r="M72" s="10" t="str">
        <f>_xlfn.TEXTJOIN(CHAR(10), TRUE, ,Merge1[[#This Row],[제품명]],Merge1[[#This Row],[오더번호]],Merge1[[#This Row],[제조번호]],Merge1[[#This Row],[지시수량]])</f>
        <v>다파릴정10mg 반제품
1015177
A002853
400000</v>
      </c>
    </row>
    <row r="73" spans="1:13" ht="54" x14ac:dyDescent="0.25">
      <c r="A73" t="s">
        <v>200</v>
      </c>
      <c r="B73" t="s">
        <v>418</v>
      </c>
      <c r="C73" t="s">
        <v>427</v>
      </c>
      <c r="D73" t="s">
        <v>82</v>
      </c>
      <c r="E73" t="s">
        <v>83</v>
      </c>
      <c r="F73" t="s">
        <v>428</v>
      </c>
      <c r="G73">
        <v>80</v>
      </c>
      <c r="H73" t="s">
        <v>9</v>
      </c>
      <c r="I73" t="s">
        <v>232</v>
      </c>
      <c r="J73">
        <v>400000</v>
      </c>
      <c r="K73">
        <v>12</v>
      </c>
      <c r="L73">
        <f>VLOOKUP(Merge1[[#This Row],[제품코드]],공정중_우선순위[[제품코드]:[우선순위]],4,0)</f>
        <v>7</v>
      </c>
      <c r="M73" s="10" t="str">
        <f>_xlfn.TEXTJOIN(CHAR(10), TRUE, ,Merge1[[#This Row],[제품명]],Merge1[[#This Row],[오더번호]],Merge1[[#This Row],[제조번호]],Merge1[[#This Row],[지시수량]])</f>
        <v>다파릴정10mg 반제품
1015200
A002859
400000</v>
      </c>
    </row>
    <row r="74" spans="1:13" ht="54" x14ac:dyDescent="0.25">
      <c r="A74" t="s">
        <v>200</v>
      </c>
      <c r="B74" t="s">
        <v>418</v>
      </c>
      <c r="C74" t="s">
        <v>429</v>
      </c>
      <c r="D74" t="s">
        <v>82</v>
      </c>
      <c r="E74" t="s">
        <v>83</v>
      </c>
      <c r="F74" t="s">
        <v>430</v>
      </c>
      <c r="G74">
        <v>80</v>
      </c>
      <c r="H74" t="s">
        <v>9</v>
      </c>
      <c r="I74" t="s">
        <v>232</v>
      </c>
      <c r="J74">
        <v>400000</v>
      </c>
      <c r="K74">
        <v>12</v>
      </c>
      <c r="L74">
        <f>VLOOKUP(Merge1[[#This Row],[제품코드]],공정중_우선순위[[제품코드]:[우선순위]],4,0)</f>
        <v>7</v>
      </c>
      <c r="M74" s="10" t="str">
        <f>_xlfn.TEXTJOIN(CHAR(10), TRUE, ,Merge1[[#This Row],[제품명]],Merge1[[#This Row],[오더번호]],Merge1[[#This Row],[제조번호]],Merge1[[#This Row],[지시수량]])</f>
        <v>다파릴정10mg 반제품
1015201
A002860
400000</v>
      </c>
    </row>
    <row r="75" spans="1:13" ht="54" x14ac:dyDescent="0.25">
      <c r="A75" t="s">
        <v>200</v>
      </c>
      <c r="B75" t="s">
        <v>418</v>
      </c>
      <c r="C75" t="s">
        <v>431</v>
      </c>
      <c r="D75" t="s">
        <v>82</v>
      </c>
      <c r="E75" t="s">
        <v>83</v>
      </c>
      <c r="F75" t="s">
        <v>432</v>
      </c>
      <c r="G75">
        <v>110</v>
      </c>
      <c r="H75" t="s">
        <v>6</v>
      </c>
      <c r="I75" t="s">
        <v>234</v>
      </c>
      <c r="J75">
        <v>400000</v>
      </c>
      <c r="K75">
        <v>9</v>
      </c>
      <c r="L75">
        <f>VLOOKUP(Merge1[[#This Row],[제품코드]],공정중_우선순위[[제품코드]:[우선순위]],4,0)</f>
        <v>7</v>
      </c>
      <c r="M75" s="10" t="str">
        <f>_xlfn.TEXTJOIN(CHAR(10), TRUE, ,Merge1[[#This Row],[제품명]],Merge1[[#This Row],[오더번호]],Merge1[[#This Row],[제조번호]],Merge1[[#This Row],[지시수량]])</f>
        <v>다파릴정10mg 반제품
1015037
A002808
400000</v>
      </c>
    </row>
    <row r="76" spans="1:13" ht="54" x14ac:dyDescent="0.25">
      <c r="A76" t="s">
        <v>200</v>
      </c>
      <c r="B76" t="s">
        <v>418</v>
      </c>
      <c r="C76" t="s">
        <v>419</v>
      </c>
      <c r="D76" t="s">
        <v>82</v>
      </c>
      <c r="E76" t="s">
        <v>83</v>
      </c>
      <c r="F76" t="s">
        <v>420</v>
      </c>
      <c r="G76">
        <v>110</v>
      </c>
      <c r="H76" t="s">
        <v>6</v>
      </c>
      <c r="I76" t="s">
        <v>234</v>
      </c>
      <c r="J76">
        <v>400000</v>
      </c>
      <c r="K76">
        <v>9</v>
      </c>
      <c r="L76">
        <f>VLOOKUP(Merge1[[#This Row],[제품코드]],공정중_우선순위[[제품코드]:[우선순위]],4,0)</f>
        <v>7</v>
      </c>
      <c r="M76" s="10" t="str">
        <f>_xlfn.TEXTJOIN(CHAR(10), TRUE, ,Merge1[[#This Row],[제품명]],Merge1[[#This Row],[오더번호]],Merge1[[#This Row],[제조번호]],Merge1[[#This Row],[지시수량]])</f>
        <v>다파릴정10mg 반제품
1015038
A002809
400000</v>
      </c>
    </row>
    <row r="77" spans="1:13" ht="54" x14ac:dyDescent="0.25">
      <c r="A77" t="s">
        <v>200</v>
      </c>
      <c r="B77" t="s">
        <v>418</v>
      </c>
      <c r="C77" t="s">
        <v>421</v>
      </c>
      <c r="D77" t="s">
        <v>82</v>
      </c>
      <c r="E77" t="s">
        <v>83</v>
      </c>
      <c r="F77" t="s">
        <v>422</v>
      </c>
      <c r="G77">
        <v>110</v>
      </c>
      <c r="H77" t="s">
        <v>6</v>
      </c>
      <c r="I77" t="s">
        <v>234</v>
      </c>
      <c r="J77">
        <v>400000</v>
      </c>
      <c r="K77">
        <v>9</v>
      </c>
      <c r="L77">
        <f>VLOOKUP(Merge1[[#This Row],[제품코드]],공정중_우선순위[[제품코드]:[우선순위]],4,0)</f>
        <v>7</v>
      </c>
      <c r="M77" s="10" t="str">
        <f>_xlfn.TEXTJOIN(CHAR(10), TRUE, ,Merge1[[#This Row],[제품명]],Merge1[[#This Row],[오더번호]],Merge1[[#This Row],[제조번호]],Merge1[[#This Row],[지시수량]])</f>
        <v>다파릴정10mg 반제품
1015175
A002851
400000</v>
      </c>
    </row>
    <row r="78" spans="1:13" ht="54" x14ac:dyDescent="0.25">
      <c r="A78" t="s">
        <v>200</v>
      </c>
      <c r="B78" t="s">
        <v>418</v>
      </c>
      <c r="C78" t="s">
        <v>423</v>
      </c>
      <c r="D78" t="s">
        <v>82</v>
      </c>
      <c r="E78" t="s">
        <v>83</v>
      </c>
      <c r="F78" t="s">
        <v>424</v>
      </c>
      <c r="G78">
        <v>110</v>
      </c>
      <c r="H78" t="s">
        <v>6</v>
      </c>
      <c r="I78" t="s">
        <v>234</v>
      </c>
      <c r="J78">
        <v>400000</v>
      </c>
      <c r="K78">
        <v>9</v>
      </c>
      <c r="L78">
        <f>VLOOKUP(Merge1[[#This Row],[제품코드]],공정중_우선순위[[제품코드]:[우선순위]],4,0)</f>
        <v>7</v>
      </c>
      <c r="M78" s="10" t="str">
        <f>_xlfn.TEXTJOIN(CHAR(10), TRUE, ,Merge1[[#This Row],[제품명]],Merge1[[#This Row],[오더번호]],Merge1[[#This Row],[제조번호]],Merge1[[#This Row],[지시수량]])</f>
        <v>다파릴정10mg 반제품
1015176
A002852
400000</v>
      </c>
    </row>
    <row r="79" spans="1:13" ht="54" x14ac:dyDescent="0.25">
      <c r="A79" t="s">
        <v>200</v>
      </c>
      <c r="B79" t="s">
        <v>418</v>
      </c>
      <c r="C79" t="s">
        <v>425</v>
      </c>
      <c r="D79" t="s">
        <v>82</v>
      </c>
      <c r="E79" t="s">
        <v>83</v>
      </c>
      <c r="F79" t="s">
        <v>426</v>
      </c>
      <c r="G79">
        <v>110</v>
      </c>
      <c r="H79" t="s">
        <v>6</v>
      </c>
      <c r="I79" t="s">
        <v>234</v>
      </c>
      <c r="J79">
        <v>400000</v>
      </c>
      <c r="K79">
        <v>9</v>
      </c>
      <c r="L79">
        <f>VLOOKUP(Merge1[[#This Row],[제품코드]],공정중_우선순위[[제품코드]:[우선순위]],4,0)</f>
        <v>7</v>
      </c>
      <c r="M79" s="10" t="str">
        <f>_xlfn.TEXTJOIN(CHAR(10), TRUE, ,Merge1[[#This Row],[제품명]],Merge1[[#This Row],[오더번호]],Merge1[[#This Row],[제조번호]],Merge1[[#This Row],[지시수량]])</f>
        <v>다파릴정10mg 반제품
1015177
A002853
400000</v>
      </c>
    </row>
    <row r="80" spans="1:13" ht="54" x14ac:dyDescent="0.25">
      <c r="A80" t="s">
        <v>200</v>
      </c>
      <c r="B80" t="s">
        <v>418</v>
      </c>
      <c r="C80" t="s">
        <v>427</v>
      </c>
      <c r="D80" t="s">
        <v>82</v>
      </c>
      <c r="E80" t="s">
        <v>83</v>
      </c>
      <c r="F80" t="s">
        <v>428</v>
      </c>
      <c r="G80">
        <v>110</v>
      </c>
      <c r="H80" t="s">
        <v>6</v>
      </c>
      <c r="I80" t="s">
        <v>234</v>
      </c>
      <c r="J80">
        <v>400000</v>
      </c>
      <c r="K80">
        <v>9</v>
      </c>
      <c r="L80">
        <f>VLOOKUP(Merge1[[#This Row],[제품코드]],공정중_우선순위[[제품코드]:[우선순위]],4,0)</f>
        <v>7</v>
      </c>
      <c r="M80" s="10" t="str">
        <f>_xlfn.TEXTJOIN(CHAR(10), TRUE, ,Merge1[[#This Row],[제품명]],Merge1[[#This Row],[오더번호]],Merge1[[#This Row],[제조번호]],Merge1[[#This Row],[지시수량]])</f>
        <v>다파릴정10mg 반제품
1015200
A002859
400000</v>
      </c>
    </row>
    <row r="81" spans="1:13" ht="54" x14ac:dyDescent="0.25">
      <c r="A81" t="s">
        <v>200</v>
      </c>
      <c r="B81" t="s">
        <v>418</v>
      </c>
      <c r="C81" t="s">
        <v>429</v>
      </c>
      <c r="D81" t="s">
        <v>82</v>
      </c>
      <c r="E81" t="s">
        <v>83</v>
      </c>
      <c r="F81" t="s">
        <v>430</v>
      </c>
      <c r="G81">
        <v>110</v>
      </c>
      <c r="H81" t="s">
        <v>6</v>
      </c>
      <c r="I81" t="s">
        <v>234</v>
      </c>
      <c r="J81">
        <v>400000</v>
      </c>
      <c r="K81">
        <v>9</v>
      </c>
      <c r="L81">
        <f>VLOOKUP(Merge1[[#This Row],[제품코드]],공정중_우선순위[[제품코드]:[우선순위]],4,0)</f>
        <v>7</v>
      </c>
      <c r="M81" s="10" t="str">
        <f>_xlfn.TEXTJOIN(CHAR(10), TRUE, ,Merge1[[#This Row],[제품명]],Merge1[[#This Row],[오더번호]],Merge1[[#This Row],[제조번호]],Merge1[[#This Row],[지시수량]])</f>
        <v>다파릴정10mg 반제품
1015201
A002860
400000</v>
      </c>
    </row>
    <row r="82" spans="1:13" ht="54" x14ac:dyDescent="0.25">
      <c r="A82" t="s">
        <v>200</v>
      </c>
      <c r="B82" t="s">
        <v>418</v>
      </c>
      <c r="C82" t="s">
        <v>537</v>
      </c>
      <c r="D82" t="s">
        <v>118</v>
      </c>
      <c r="E82" t="s">
        <v>119</v>
      </c>
      <c r="F82" t="s">
        <v>538</v>
      </c>
      <c r="G82">
        <v>80</v>
      </c>
      <c r="H82" t="s">
        <v>9</v>
      </c>
      <c r="I82" t="s">
        <v>232</v>
      </c>
      <c r="J82">
        <v>400000</v>
      </c>
      <c r="K82">
        <v>12</v>
      </c>
      <c r="L82">
        <f>VLOOKUP(Merge1[[#This Row],[제품코드]],공정중_우선순위[[제품코드]:[우선순위]],4,0)</f>
        <v>8</v>
      </c>
      <c r="M82" s="10" t="str">
        <f>_xlfn.TEXTJOIN(CHAR(10), TRUE, ,Merge1[[#This Row],[제품명]],Merge1[[#This Row],[오더번호]],Merge1[[#This Row],[제조번호]],Merge1[[#This Row],[지시수량]])</f>
        <v>포다글정10mg 반제품(이연제약)
1015203
R25001
400000</v>
      </c>
    </row>
    <row r="83" spans="1:13" ht="54" x14ac:dyDescent="0.25">
      <c r="A83" t="s">
        <v>200</v>
      </c>
      <c r="B83" t="s">
        <v>418</v>
      </c>
      <c r="C83" t="s">
        <v>537</v>
      </c>
      <c r="D83" t="s">
        <v>118</v>
      </c>
      <c r="E83" t="s">
        <v>119</v>
      </c>
      <c r="F83" t="s">
        <v>538</v>
      </c>
      <c r="G83">
        <v>110</v>
      </c>
      <c r="H83" t="s">
        <v>6</v>
      </c>
      <c r="I83" t="s">
        <v>234</v>
      </c>
      <c r="J83">
        <v>400000</v>
      </c>
      <c r="K83">
        <v>9</v>
      </c>
      <c r="L83">
        <f>VLOOKUP(Merge1[[#This Row],[제품코드]],공정중_우선순위[[제품코드]:[우선순위]],4,0)</f>
        <v>8</v>
      </c>
      <c r="M83" s="10" t="str">
        <f>_xlfn.TEXTJOIN(CHAR(10), TRUE, ,Merge1[[#This Row],[제품명]],Merge1[[#This Row],[오더번호]],Merge1[[#This Row],[제조번호]],Merge1[[#This Row],[지시수량]])</f>
        <v>포다글정10mg 반제품(이연제약)
1015203
R25001
400000</v>
      </c>
    </row>
    <row r="84" spans="1:13" ht="54" x14ac:dyDescent="0.25">
      <c r="A84" t="s">
        <v>200</v>
      </c>
      <c r="B84" t="s">
        <v>433</v>
      </c>
      <c r="C84" t="s">
        <v>543</v>
      </c>
      <c r="D84" t="s">
        <v>122</v>
      </c>
      <c r="E84" t="s">
        <v>123</v>
      </c>
      <c r="F84" t="s">
        <v>544</v>
      </c>
      <c r="G84">
        <v>80</v>
      </c>
      <c r="H84" t="s">
        <v>9</v>
      </c>
      <c r="I84" t="s">
        <v>232</v>
      </c>
      <c r="J84">
        <v>400000</v>
      </c>
      <c r="K84">
        <v>11</v>
      </c>
      <c r="L84">
        <f>VLOOKUP(Merge1[[#This Row],[제품코드]],공정중_우선순위[[제품코드]:[우선순위]],4,0)</f>
        <v>9</v>
      </c>
      <c r="M84" s="10" t="str">
        <f>_xlfn.TEXTJOIN(CHAR(10), TRUE, ,Merge1[[#This Row],[제품명]],Merge1[[#This Row],[오더번호]],Merge1[[#This Row],[제조번호]],Merge1[[#This Row],[지시수량]])</f>
        <v>네오다파정5mg 반제품(녹십자)
1015211
1163016
400000</v>
      </c>
    </row>
    <row r="85" spans="1:13" ht="54" x14ac:dyDescent="0.25">
      <c r="A85" t="s">
        <v>200</v>
      </c>
      <c r="B85" t="s">
        <v>433</v>
      </c>
      <c r="C85" t="s">
        <v>545</v>
      </c>
      <c r="D85" t="s">
        <v>122</v>
      </c>
      <c r="E85" t="s">
        <v>123</v>
      </c>
      <c r="F85" t="s">
        <v>546</v>
      </c>
      <c r="G85">
        <v>80</v>
      </c>
      <c r="H85" t="s">
        <v>9</v>
      </c>
      <c r="I85" t="s">
        <v>232</v>
      </c>
      <c r="J85">
        <v>400000</v>
      </c>
      <c r="K85">
        <v>11</v>
      </c>
      <c r="L85">
        <f>VLOOKUP(Merge1[[#This Row],[제품코드]],공정중_우선순위[[제품코드]:[우선순위]],4,0)</f>
        <v>9</v>
      </c>
      <c r="M85" s="10" t="str">
        <f>_xlfn.TEXTJOIN(CHAR(10), TRUE, ,Merge1[[#This Row],[제품명]],Merge1[[#This Row],[오더번호]],Merge1[[#This Row],[제조번호]],Merge1[[#This Row],[지시수량]])</f>
        <v>네오다파정5mg 반제품(녹십자)
1015212
1163017
400000</v>
      </c>
    </row>
    <row r="86" spans="1:13" ht="54" x14ac:dyDescent="0.25">
      <c r="A86" t="s">
        <v>200</v>
      </c>
      <c r="B86" t="s">
        <v>433</v>
      </c>
      <c r="C86" t="s">
        <v>547</v>
      </c>
      <c r="D86" t="s">
        <v>122</v>
      </c>
      <c r="E86" t="s">
        <v>123</v>
      </c>
      <c r="F86" t="s">
        <v>548</v>
      </c>
      <c r="G86">
        <v>80</v>
      </c>
      <c r="H86" t="s">
        <v>9</v>
      </c>
      <c r="I86" t="s">
        <v>232</v>
      </c>
      <c r="J86">
        <v>400000</v>
      </c>
      <c r="K86">
        <v>11</v>
      </c>
      <c r="L86">
        <f>VLOOKUP(Merge1[[#This Row],[제품코드]],공정중_우선순위[[제품코드]:[우선순위]],4,0)</f>
        <v>9</v>
      </c>
      <c r="M86" s="10" t="str">
        <f>_xlfn.TEXTJOIN(CHAR(10), TRUE, ,Merge1[[#This Row],[제품명]],Merge1[[#This Row],[오더번호]],Merge1[[#This Row],[제조번호]],Merge1[[#This Row],[지시수량]])</f>
        <v>네오다파정5mg 반제품(녹십자)
1015213
1163018
400000</v>
      </c>
    </row>
    <row r="87" spans="1:13" ht="54" x14ac:dyDescent="0.25">
      <c r="A87" t="s">
        <v>200</v>
      </c>
      <c r="B87" t="s">
        <v>433</v>
      </c>
      <c r="C87" t="s">
        <v>543</v>
      </c>
      <c r="D87" t="s">
        <v>122</v>
      </c>
      <c r="E87" t="s">
        <v>123</v>
      </c>
      <c r="F87" t="s">
        <v>544</v>
      </c>
      <c r="G87">
        <v>110</v>
      </c>
      <c r="H87" t="s">
        <v>6</v>
      </c>
      <c r="I87" t="s">
        <v>234</v>
      </c>
      <c r="J87">
        <v>400000</v>
      </c>
      <c r="K87">
        <v>9</v>
      </c>
      <c r="L87">
        <f>VLOOKUP(Merge1[[#This Row],[제품코드]],공정중_우선순위[[제품코드]:[우선순위]],4,0)</f>
        <v>9</v>
      </c>
      <c r="M87" s="10" t="str">
        <f>_xlfn.TEXTJOIN(CHAR(10), TRUE, ,Merge1[[#This Row],[제품명]],Merge1[[#This Row],[오더번호]],Merge1[[#This Row],[제조번호]],Merge1[[#This Row],[지시수량]])</f>
        <v>네오다파정5mg 반제품(녹십자)
1015211
1163016
400000</v>
      </c>
    </row>
    <row r="88" spans="1:13" ht="54" x14ac:dyDescent="0.25">
      <c r="A88" t="s">
        <v>200</v>
      </c>
      <c r="B88" t="s">
        <v>433</v>
      </c>
      <c r="C88" t="s">
        <v>545</v>
      </c>
      <c r="D88" t="s">
        <v>122</v>
      </c>
      <c r="E88" t="s">
        <v>123</v>
      </c>
      <c r="F88" t="s">
        <v>546</v>
      </c>
      <c r="G88">
        <v>110</v>
      </c>
      <c r="H88" t="s">
        <v>6</v>
      </c>
      <c r="I88" t="s">
        <v>234</v>
      </c>
      <c r="J88">
        <v>400000</v>
      </c>
      <c r="K88">
        <v>9</v>
      </c>
      <c r="L88">
        <f>VLOOKUP(Merge1[[#This Row],[제품코드]],공정중_우선순위[[제품코드]:[우선순위]],4,0)</f>
        <v>9</v>
      </c>
      <c r="M88" s="10" t="str">
        <f>_xlfn.TEXTJOIN(CHAR(10), TRUE, ,Merge1[[#This Row],[제품명]],Merge1[[#This Row],[오더번호]],Merge1[[#This Row],[제조번호]],Merge1[[#This Row],[지시수량]])</f>
        <v>네오다파정5mg 반제품(녹십자)
1015212
1163017
400000</v>
      </c>
    </row>
    <row r="89" spans="1:13" ht="54" x14ac:dyDescent="0.25">
      <c r="A89" t="s">
        <v>200</v>
      </c>
      <c r="B89" t="s">
        <v>433</v>
      </c>
      <c r="C89" t="s">
        <v>547</v>
      </c>
      <c r="D89" t="s">
        <v>122</v>
      </c>
      <c r="E89" t="s">
        <v>123</v>
      </c>
      <c r="F89" t="s">
        <v>548</v>
      </c>
      <c r="G89">
        <v>110</v>
      </c>
      <c r="H89" t="s">
        <v>6</v>
      </c>
      <c r="I89" t="s">
        <v>234</v>
      </c>
      <c r="J89">
        <v>400000</v>
      </c>
      <c r="K89">
        <v>9</v>
      </c>
      <c r="L89">
        <f>VLOOKUP(Merge1[[#This Row],[제품코드]],공정중_우선순위[[제품코드]:[우선순위]],4,0)</f>
        <v>9</v>
      </c>
      <c r="M89" s="10" t="str">
        <f>_xlfn.TEXTJOIN(CHAR(10), TRUE, ,Merge1[[#This Row],[제품명]],Merge1[[#This Row],[오더번호]],Merge1[[#This Row],[제조번호]],Merge1[[#This Row],[지시수량]])</f>
        <v>네오다파정5mg 반제품(녹십자)
1015213
1163018
400000</v>
      </c>
    </row>
    <row r="90" spans="1:13" ht="54" x14ac:dyDescent="0.25">
      <c r="A90" t="s">
        <v>200</v>
      </c>
      <c r="B90" t="s">
        <v>433</v>
      </c>
      <c r="C90" t="s">
        <v>401</v>
      </c>
      <c r="D90" t="s">
        <v>124</v>
      </c>
      <c r="E90" t="s">
        <v>125</v>
      </c>
      <c r="F90" t="s">
        <v>549</v>
      </c>
      <c r="G90">
        <v>80</v>
      </c>
      <c r="H90" t="s">
        <v>9</v>
      </c>
      <c r="I90" t="s">
        <v>232</v>
      </c>
      <c r="J90">
        <v>400000</v>
      </c>
      <c r="K90">
        <v>11</v>
      </c>
      <c r="L90">
        <f>VLOOKUP(Merge1[[#This Row],[제품코드]],공정중_우선순위[[제품코드]:[우선순위]],4,0)</f>
        <v>10</v>
      </c>
      <c r="M90" s="10" t="str">
        <f>_xlfn.TEXTJOIN(CHAR(10), TRUE, ,Merge1[[#This Row],[제품명]],Merge1[[#This Row],[오더번호]],Merge1[[#This Row],[제조번호]],Merge1[[#This Row],[지시수량]])</f>
        <v>포글린정5mg 반제품(하나제약)
1015260
25001
400000</v>
      </c>
    </row>
    <row r="91" spans="1:13" ht="54" x14ac:dyDescent="0.25">
      <c r="A91" t="s">
        <v>200</v>
      </c>
      <c r="B91" t="s">
        <v>433</v>
      </c>
      <c r="C91" t="s">
        <v>401</v>
      </c>
      <c r="D91" t="s">
        <v>124</v>
      </c>
      <c r="E91" t="s">
        <v>125</v>
      </c>
      <c r="F91" t="s">
        <v>549</v>
      </c>
      <c r="G91">
        <v>110</v>
      </c>
      <c r="H91" t="s">
        <v>6</v>
      </c>
      <c r="I91" t="s">
        <v>234</v>
      </c>
      <c r="J91">
        <v>400000</v>
      </c>
      <c r="K91">
        <v>9</v>
      </c>
      <c r="L91">
        <f>VLOOKUP(Merge1[[#This Row],[제품코드]],공정중_우선순위[[제품코드]:[우선순위]],4,0)</f>
        <v>10</v>
      </c>
      <c r="M91" s="10" t="str">
        <f>_xlfn.TEXTJOIN(CHAR(10), TRUE, ,Merge1[[#This Row],[제품명]],Merge1[[#This Row],[오더번호]],Merge1[[#This Row],[제조번호]],Merge1[[#This Row],[지시수량]])</f>
        <v>포글린정5mg 반제품(하나제약)
1015260
25001
400000</v>
      </c>
    </row>
    <row r="92" spans="1:13" ht="54" x14ac:dyDescent="0.25">
      <c r="A92" t="s">
        <v>200</v>
      </c>
      <c r="B92" t="s">
        <v>433</v>
      </c>
      <c r="C92" t="s">
        <v>434</v>
      </c>
      <c r="D92" t="s">
        <v>84</v>
      </c>
      <c r="E92" t="s">
        <v>85</v>
      </c>
      <c r="F92" t="s">
        <v>435</v>
      </c>
      <c r="G92">
        <v>80</v>
      </c>
      <c r="H92" t="s">
        <v>9</v>
      </c>
      <c r="I92" t="s">
        <v>232</v>
      </c>
      <c r="J92">
        <v>400000</v>
      </c>
      <c r="K92">
        <v>11</v>
      </c>
      <c r="L92">
        <f>VLOOKUP(Merge1[[#This Row],[제품코드]],공정중_우선순위[[제품코드]:[우선순위]],4,0)</f>
        <v>11</v>
      </c>
      <c r="M92" s="10" t="str">
        <f>_xlfn.TEXTJOIN(CHAR(10), TRUE, ,Merge1[[#This Row],[제품명]],Merge1[[#This Row],[오더번호]],Merge1[[#This Row],[제조번호]],Merge1[[#This Row],[지시수량]])</f>
        <v>다파릴정5mg 반제품
1015261
A002867
400000</v>
      </c>
    </row>
    <row r="93" spans="1:13" ht="54" x14ac:dyDescent="0.25">
      <c r="A93" t="s">
        <v>200</v>
      </c>
      <c r="B93" t="s">
        <v>433</v>
      </c>
      <c r="C93" t="s">
        <v>436</v>
      </c>
      <c r="D93" t="s">
        <v>84</v>
      </c>
      <c r="E93" t="s">
        <v>85</v>
      </c>
      <c r="F93" t="s">
        <v>437</v>
      </c>
      <c r="G93">
        <v>80</v>
      </c>
      <c r="H93" t="s">
        <v>9</v>
      </c>
      <c r="I93" t="s">
        <v>232</v>
      </c>
      <c r="J93">
        <v>400000</v>
      </c>
      <c r="K93">
        <v>11</v>
      </c>
      <c r="L93">
        <f>VLOOKUP(Merge1[[#This Row],[제품코드]],공정중_우선순위[[제품코드]:[우선순위]],4,0)</f>
        <v>11</v>
      </c>
      <c r="M93" s="10" t="str">
        <f>_xlfn.TEXTJOIN(CHAR(10), TRUE, ,Merge1[[#This Row],[제품명]],Merge1[[#This Row],[오더번호]],Merge1[[#This Row],[제조번호]],Merge1[[#This Row],[지시수량]])</f>
        <v>다파릴정5mg 반제품
1015262
A002868
400000</v>
      </c>
    </row>
    <row r="94" spans="1:13" ht="54" x14ac:dyDescent="0.25">
      <c r="A94" t="s">
        <v>200</v>
      </c>
      <c r="B94" t="s">
        <v>433</v>
      </c>
      <c r="C94" t="s">
        <v>434</v>
      </c>
      <c r="D94" t="s">
        <v>84</v>
      </c>
      <c r="E94" t="s">
        <v>85</v>
      </c>
      <c r="F94" t="s">
        <v>435</v>
      </c>
      <c r="G94">
        <v>110</v>
      </c>
      <c r="H94" t="s">
        <v>6</v>
      </c>
      <c r="I94" t="s">
        <v>234</v>
      </c>
      <c r="J94">
        <v>400000</v>
      </c>
      <c r="K94">
        <v>9</v>
      </c>
      <c r="L94">
        <f>VLOOKUP(Merge1[[#This Row],[제품코드]],공정중_우선순위[[제품코드]:[우선순위]],4,0)</f>
        <v>11</v>
      </c>
      <c r="M94" s="10" t="str">
        <f>_xlfn.TEXTJOIN(CHAR(10), TRUE, ,Merge1[[#This Row],[제품명]],Merge1[[#This Row],[오더번호]],Merge1[[#This Row],[제조번호]],Merge1[[#This Row],[지시수량]])</f>
        <v>다파릴정5mg 반제품
1015261
A002867
400000</v>
      </c>
    </row>
    <row r="95" spans="1:13" ht="54" x14ac:dyDescent="0.25">
      <c r="A95" t="s">
        <v>200</v>
      </c>
      <c r="B95" t="s">
        <v>433</v>
      </c>
      <c r="C95" t="s">
        <v>436</v>
      </c>
      <c r="D95" t="s">
        <v>84</v>
      </c>
      <c r="E95" t="s">
        <v>85</v>
      </c>
      <c r="F95" t="s">
        <v>437</v>
      </c>
      <c r="G95">
        <v>110</v>
      </c>
      <c r="H95" t="s">
        <v>6</v>
      </c>
      <c r="I95" t="s">
        <v>234</v>
      </c>
      <c r="J95">
        <v>400000</v>
      </c>
      <c r="K95">
        <v>9</v>
      </c>
      <c r="L95">
        <f>VLOOKUP(Merge1[[#This Row],[제품코드]],공정중_우선순위[[제품코드]:[우선순위]],4,0)</f>
        <v>11</v>
      </c>
      <c r="M95" s="10" t="str">
        <f>_xlfn.TEXTJOIN(CHAR(10), TRUE, ,Merge1[[#This Row],[제품명]],Merge1[[#This Row],[오더번호]],Merge1[[#This Row],[제조번호]],Merge1[[#This Row],[지시수량]])</f>
        <v>다파릴정5mg 반제품
1015262
A002868
400000</v>
      </c>
    </row>
    <row r="96" spans="1:13" ht="54" x14ac:dyDescent="0.25">
      <c r="A96" t="s">
        <v>200</v>
      </c>
      <c r="B96" t="s">
        <v>251</v>
      </c>
      <c r="C96" t="s">
        <v>252</v>
      </c>
      <c r="D96" t="s">
        <v>19</v>
      </c>
      <c r="E96" t="s">
        <v>20</v>
      </c>
      <c r="F96" t="s">
        <v>253</v>
      </c>
      <c r="G96">
        <v>110</v>
      </c>
      <c r="H96" t="s">
        <v>6</v>
      </c>
      <c r="I96" t="s">
        <v>211</v>
      </c>
      <c r="J96">
        <v>300000</v>
      </c>
      <c r="K96">
        <v>15</v>
      </c>
      <c r="L96">
        <f>VLOOKUP(Merge1[[#This Row],[제품코드]],공정중_우선순위[[제품코드]:[우선순위]],4,0)</f>
        <v>12</v>
      </c>
      <c r="M96" s="10" t="str">
        <f>_xlfn.TEXTJOIN(CHAR(10), TRUE, ,Merge1[[#This Row],[제품명]],Merge1[[#This Row],[오더번호]],Merge1[[#This Row],[제조번호]],Merge1[[#This Row],[지시수량]])</f>
        <v>보믹캡슐7.5MG 반제품
1015192
A002857
300000</v>
      </c>
    </row>
    <row r="97" spans="1:13" ht="54" x14ac:dyDescent="0.25">
      <c r="A97" t="s">
        <v>200</v>
      </c>
      <c r="B97" t="s">
        <v>251</v>
      </c>
      <c r="C97" t="s">
        <v>254</v>
      </c>
      <c r="D97" t="s">
        <v>19</v>
      </c>
      <c r="E97" t="s">
        <v>20</v>
      </c>
      <c r="F97" t="s">
        <v>255</v>
      </c>
      <c r="G97">
        <v>110</v>
      </c>
      <c r="H97" t="s">
        <v>6</v>
      </c>
      <c r="I97" t="s">
        <v>211</v>
      </c>
      <c r="J97">
        <v>300000</v>
      </c>
      <c r="K97">
        <v>15</v>
      </c>
      <c r="L97">
        <f>VLOOKUP(Merge1[[#This Row],[제품코드]],공정중_우선순위[[제품코드]:[우선순위]],4,0)</f>
        <v>12</v>
      </c>
      <c r="M97" s="10" t="str">
        <f>_xlfn.TEXTJOIN(CHAR(10), TRUE, ,Merge1[[#This Row],[제품명]],Merge1[[#This Row],[오더번호]],Merge1[[#This Row],[제조번호]],Merge1[[#This Row],[지시수량]])</f>
        <v>보믹캡슐7.5MG 반제품
1015193
A002858
300000</v>
      </c>
    </row>
    <row r="98" spans="1:13" ht="54" x14ac:dyDescent="0.25">
      <c r="A98" t="s">
        <v>200</v>
      </c>
      <c r="B98" t="s">
        <v>251</v>
      </c>
      <c r="C98" t="s">
        <v>252</v>
      </c>
      <c r="D98" t="s">
        <v>19</v>
      </c>
      <c r="E98" t="s">
        <v>20</v>
      </c>
      <c r="F98" t="s">
        <v>253</v>
      </c>
      <c r="G98">
        <v>120</v>
      </c>
      <c r="H98" t="s">
        <v>11</v>
      </c>
      <c r="I98" t="s">
        <v>241</v>
      </c>
      <c r="J98">
        <v>300000</v>
      </c>
      <c r="K98">
        <v>13</v>
      </c>
      <c r="L98">
        <f>VLOOKUP(Merge1[[#This Row],[제품코드]],공정중_우선순위[[제품코드]:[우선순위]],4,0)</f>
        <v>12</v>
      </c>
      <c r="M98" s="10" t="str">
        <f>_xlfn.TEXTJOIN(CHAR(10), TRUE, ,Merge1[[#This Row],[제품명]],Merge1[[#This Row],[오더번호]],Merge1[[#This Row],[제조번호]],Merge1[[#This Row],[지시수량]])</f>
        <v>보믹캡슐7.5MG 반제품
1015192
A002857
300000</v>
      </c>
    </row>
    <row r="99" spans="1:13" ht="54" x14ac:dyDescent="0.25">
      <c r="A99" t="s">
        <v>200</v>
      </c>
      <c r="B99" t="s">
        <v>251</v>
      </c>
      <c r="C99" t="s">
        <v>254</v>
      </c>
      <c r="D99" t="s">
        <v>19</v>
      </c>
      <c r="E99" t="s">
        <v>20</v>
      </c>
      <c r="F99" t="s">
        <v>255</v>
      </c>
      <c r="G99">
        <v>120</v>
      </c>
      <c r="H99" t="s">
        <v>11</v>
      </c>
      <c r="I99" t="s">
        <v>241</v>
      </c>
      <c r="J99">
        <v>300000</v>
      </c>
      <c r="K99">
        <v>13</v>
      </c>
      <c r="L99">
        <f>VLOOKUP(Merge1[[#This Row],[제품코드]],공정중_우선순위[[제품코드]:[우선순위]],4,0)</f>
        <v>12</v>
      </c>
      <c r="M99" s="10" t="str">
        <f>_xlfn.TEXTJOIN(CHAR(10), TRUE, ,Merge1[[#This Row],[제품명]],Merge1[[#This Row],[오더번호]],Merge1[[#This Row],[제조번호]],Merge1[[#This Row],[지시수량]])</f>
        <v>보믹캡슐7.5MG 반제품
1015193
A002858
300000</v>
      </c>
    </row>
    <row r="100" spans="1:13" ht="67.5" x14ac:dyDescent="0.25">
      <c r="A100" t="s">
        <v>200</v>
      </c>
      <c r="B100" t="s">
        <v>261</v>
      </c>
      <c r="C100" t="s">
        <v>262</v>
      </c>
      <c r="D100" t="s">
        <v>23</v>
      </c>
      <c r="E100" t="s">
        <v>24</v>
      </c>
      <c r="F100" t="s">
        <v>263</v>
      </c>
      <c r="G100">
        <v>70</v>
      </c>
      <c r="H100" t="s">
        <v>10</v>
      </c>
      <c r="I100" t="s">
        <v>238</v>
      </c>
      <c r="J100">
        <v>600000</v>
      </c>
      <c r="K100">
        <v>29</v>
      </c>
      <c r="L100">
        <f>VLOOKUP(Merge1[[#This Row],[제품코드]],공정중_우선순위[[제품코드]:[우선순위]],4,0)</f>
        <v>13</v>
      </c>
      <c r="M100" s="10" t="str">
        <f>_xlfn.TEXTJOIN(CHAR(10), TRUE, ,Merge1[[#This Row],[제품명]],Merge1[[#This Row],[오더번호]],Merge1[[#This Row],[제조번호]],Merge1[[#This Row],[지시수량]])</f>
        <v>브롱코박솜캡슐(성인용)40MG 반제품
1015615
A002960
600000</v>
      </c>
    </row>
    <row r="101" spans="1:13" ht="67.5" x14ac:dyDescent="0.25">
      <c r="A101" t="s">
        <v>200</v>
      </c>
      <c r="B101" t="s">
        <v>261</v>
      </c>
      <c r="C101" t="s">
        <v>264</v>
      </c>
      <c r="D101" t="s">
        <v>23</v>
      </c>
      <c r="E101" t="s">
        <v>24</v>
      </c>
      <c r="F101" t="s">
        <v>265</v>
      </c>
      <c r="G101">
        <v>110</v>
      </c>
      <c r="H101" t="s">
        <v>6</v>
      </c>
      <c r="I101" t="s">
        <v>211</v>
      </c>
      <c r="J101">
        <v>600000</v>
      </c>
      <c r="K101">
        <v>19</v>
      </c>
      <c r="L101">
        <f>VLOOKUP(Merge1[[#This Row],[제품코드]],공정중_우선순위[[제품코드]:[우선순위]],4,0)</f>
        <v>13</v>
      </c>
      <c r="M101" s="10" t="str">
        <f>_xlfn.TEXTJOIN(CHAR(10), TRUE, ,Merge1[[#This Row],[제품명]],Merge1[[#This Row],[오더번호]],Merge1[[#This Row],[제조번호]],Merge1[[#This Row],[지시수량]])</f>
        <v>브롱코박솜캡슐(성인용)40MG 반제품
1015614
A002959
600000</v>
      </c>
    </row>
    <row r="102" spans="1:13" ht="67.5" x14ac:dyDescent="0.25">
      <c r="A102" t="s">
        <v>200</v>
      </c>
      <c r="B102" t="s">
        <v>261</v>
      </c>
      <c r="C102" t="s">
        <v>262</v>
      </c>
      <c r="D102" t="s">
        <v>23</v>
      </c>
      <c r="E102" t="s">
        <v>24</v>
      </c>
      <c r="F102" t="s">
        <v>263</v>
      </c>
      <c r="G102">
        <v>110</v>
      </c>
      <c r="H102" t="s">
        <v>6</v>
      </c>
      <c r="I102" t="s">
        <v>211</v>
      </c>
      <c r="J102">
        <v>600000</v>
      </c>
      <c r="K102">
        <v>19</v>
      </c>
      <c r="L102">
        <f>VLOOKUP(Merge1[[#This Row],[제품코드]],공정중_우선순위[[제품코드]:[우선순위]],4,0)</f>
        <v>13</v>
      </c>
      <c r="M102" s="10" t="str">
        <f>_xlfn.TEXTJOIN(CHAR(10), TRUE, ,Merge1[[#This Row],[제품명]],Merge1[[#This Row],[오더번호]],Merge1[[#This Row],[제조번호]],Merge1[[#This Row],[지시수량]])</f>
        <v>브롱코박솜캡슐(성인용)40MG 반제품
1015615
A002960
600000</v>
      </c>
    </row>
    <row r="103" spans="1:13" ht="67.5" x14ac:dyDescent="0.25">
      <c r="A103" t="s">
        <v>200</v>
      </c>
      <c r="B103" t="s">
        <v>261</v>
      </c>
      <c r="C103" t="s">
        <v>264</v>
      </c>
      <c r="D103" t="s">
        <v>23</v>
      </c>
      <c r="E103" t="s">
        <v>24</v>
      </c>
      <c r="F103" t="s">
        <v>265</v>
      </c>
      <c r="G103">
        <v>120</v>
      </c>
      <c r="H103" t="s">
        <v>11</v>
      </c>
      <c r="I103" t="s">
        <v>241</v>
      </c>
      <c r="J103">
        <v>600000</v>
      </c>
      <c r="K103">
        <v>23</v>
      </c>
      <c r="L103">
        <f>VLOOKUP(Merge1[[#This Row],[제품코드]],공정중_우선순위[[제품코드]:[우선순위]],4,0)</f>
        <v>13</v>
      </c>
      <c r="M103" s="10" t="str">
        <f>_xlfn.TEXTJOIN(CHAR(10), TRUE, ,Merge1[[#This Row],[제품명]],Merge1[[#This Row],[오더번호]],Merge1[[#This Row],[제조번호]],Merge1[[#This Row],[지시수량]])</f>
        <v>브롱코박솜캡슐(성인용)40MG 반제품
1015614
A002959
600000</v>
      </c>
    </row>
    <row r="104" spans="1:13" ht="67.5" x14ac:dyDescent="0.25">
      <c r="A104" t="s">
        <v>200</v>
      </c>
      <c r="B104" t="s">
        <v>261</v>
      </c>
      <c r="C104" t="s">
        <v>262</v>
      </c>
      <c r="D104" t="s">
        <v>23</v>
      </c>
      <c r="E104" t="s">
        <v>24</v>
      </c>
      <c r="F104" t="s">
        <v>263</v>
      </c>
      <c r="G104">
        <v>120</v>
      </c>
      <c r="H104" t="s">
        <v>11</v>
      </c>
      <c r="I104" t="s">
        <v>241</v>
      </c>
      <c r="J104">
        <v>600000</v>
      </c>
      <c r="K104">
        <v>23</v>
      </c>
      <c r="L104">
        <f>VLOOKUP(Merge1[[#This Row],[제품코드]],공정중_우선순위[[제품코드]:[우선순위]],4,0)</f>
        <v>13</v>
      </c>
      <c r="M104" s="10" t="str">
        <f>_xlfn.TEXTJOIN(CHAR(10), TRUE, ,Merge1[[#This Row],[제품명]],Merge1[[#This Row],[오더번호]],Merge1[[#This Row],[제조번호]],Merge1[[#This Row],[지시수량]])</f>
        <v>브롱코박솜캡슐(성인용)40MG 반제품
1015615
A002960
600000</v>
      </c>
    </row>
    <row r="105" spans="1:13" ht="54" x14ac:dyDescent="0.25">
      <c r="A105" t="s">
        <v>200</v>
      </c>
      <c r="B105" t="s">
        <v>212</v>
      </c>
      <c r="C105" t="s">
        <v>213</v>
      </c>
      <c r="D105" t="s">
        <v>7</v>
      </c>
      <c r="E105" t="s">
        <v>8</v>
      </c>
      <c r="F105" t="s">
        <v>214</v>
      </c>
      <c r="G105">
        <v>110</v>
      </c>
      <c r="H105" t="s">
        <v>6</v>
      </c>
      <c r="I105" t="s">
        <v>215</v>
      </c>
      <c r="J105">
        <v>800000</v>
      </c>
      <c r="K105">
        <v>14</v>
      </c>
      <c r="L105">
        <f>VLOOKUP(Merge1[[#This Row],[제품코드]],공정중_우선순위[[제품코드]:[우선순위]],4,0)</f>
        <v>14</v>
      </c>
      <c r="M105" s="10" t="str">
        <f>_xlfn.TEXTJOIN(CHAR(10), TRUE, ,Merge1[[#This Row],[제품명]],Merge1[[#This Row],[오더번호]],Merge1[[#This Row],[제조번호]],Merge1[[#This Row],[지시수량]])</f>
        <v>아나모틴정5MG 반제품
1014907
A002792
800000</v>
      </c>
    </row>
    <row r="106" spans="1:13" ht="54" x14ac:dyDescent="0.25">
      <c r="A106" t="s">
        <v>200</v>
      </c>
      <c r="B106" t="s">
        <v>371</v>
      </c>
      <c r="C106" t="s">
        <v>372</v>
      </c>
      <c r="D106" t="s">
        <v>50</v>
      </c>
      <c r="E106" t="s">
        <v>51</v>
      </c>
      <c r="F106" t="s">
        <v>373</v>
      </c>
      <c r="G106">
        <v>80</v>
      </c>
      <c r="H106" t="s">
        <v>9</v>
      </c>
      <c r="I106" t="s">
        <v>232</v>
      </c>
      <c r="J106">
        <v>600000</v>
      </c>
      <c r="K106">
        <v>13</v>
      </c>
      <c r="L106">
        <f>VLOOKUP(Merge1[[#This Row],[제품코드]],공정중_우선순위[[제품코드]:[우선순위]],4,0)</f>
        <v>15</v>
      </c>
      <c r="M106" s="10" t="str">
        <f>_xlfn.TEXTJOIN(CHAR(10), TRUE, ,Merge1[[#This Row],[제품명]],Merge1[[#This Row],[오더번호]],Merge1[[#This Row],[제조번호]],Merge1[[#This Row],[지시수량]])</f>
        <v>아나빅스75mg 반제품
1015334
A002882
600000</v>
      </c>
    </row>
    <row r="107" spans="1:13" ht="54" x14ac:dyDescent="0.25">
      <c r="A107" t="s">
        <v>200</v>
      </c>
      <c r="B107" t="s">
        <v>371</v>
      </c>
      <c r="C107" t="s">
        <v>374</v>
      </c>
      <c r="D107" t="s">
        <v>50</v>
      </c>
      <c r="E107" t="s">
        <v>51</v>
      </c>
      <c r="F107" t="s">
        <v>375</v>
      </c>
      <c r="G107">
        <v>80</v>
      </c>
      <c r="H107" t="s">
        <v>9</v>
      </c>
      <c r="I107" t="s">
        <v>232</v>
      </c>
      <c r="J107">
        <v>600000</v>
      </c>
      <c r="K107">
        <v>13</v>
      </c>
      <c r="L107">
        <f>VLOOKUP(Merge1[[#This Row],[제품코드]],공정중_우선순위[[제품코드]:[우선순위]],4,0)</f>
        <v>15</v>
      </c>
      <c r="M107" s="10" t="str">
        <f>_xlfn.TEXTJOIN(CHAR(10), TRUE, ,Merge1[[#This Row],[제품명]],Merge1[[#This Row],[오더번호]],Merge1[[#This Row],[제조번호]],Merge1[[#This Row],[지시수량]])</f>
        <v>아나빅스75mg 반제품
1015335
A002883
600000</v>
      </c>
    </row>
    <row r="108" spans="1:13" ht="54" x14ac:dyDescent="0.25">
      <c r="A108" t="s">
        <v>200</v>
      </c>
      <c r="B108" t="s">
        <v>371</v>
      </c>
      <c r="C108" t="s">
        <v>376</v>
      </c>
      <c r="D108" t="s">
        <v>50</v>
      </c>
      <c r="E108" t="s">
        <v>51</v>
      </c>
      <c r="F108" t="s">
        <v>377</v>
      </c>
      <c r="G108">
        <v>80</v>
      </c>
      <c r="H108" t="s">
        <v>9</v>
      </c>
      <c r="I108" t="s">
        <v>232</v>
      </c>
      <c r="J108">
        <v>600000</v>
      </c>
      <c r="K108">
        <v>13</v>
      </c>
      <c r="L108">
        <f>VLOOKUP(Merge1[[#This Row],[제품코드]],공정중_우선순위[[제품코드]:[우선순위]],4,0)</f>
        <v>15</v>
      </c>
      <c r="M108" s="10" t="str">
        <f>_xlfn.TEXTJOIN(CHAR(10), TRUE, ,Merge1[[#This Row],[제품명]],Merge1[[#This Row],[오더번호]],Merge1[[#This Row],[제조번호]],Merge1[[#This Row],[지시수량]])</f>
        <v>아나빅스75mg 반제품
1015336
A002884
600000</v>
      </c>
    </row>
    <row r="109" spans="1:13" ht="54" x14ac:dyDescent="0.25">
      <c r="A109" t="s">
        <v>200</v>
      </c>
      <c r="B109" t="s">
        <v>371</v>
      </c>
      <c r="C109" t="s">
        <v>372</v>
      </c>
      <c r="D109" t="s">
        <v>50</v>
      </c>
      <c r="E109" t="s">
        <v>51</v>
      </c>
      <c r="F109" t="s">
        <v>373</v>
      </c>
      <c r="G109">
        <v>110</v>
      </c>
      <c r="H109" t="s">
        <v>6</v>
      </c>
      <c r="I109" t="s">
        <v>211</v>
      </c>
      <c r="J109">
        <v>600000</v>
      </c>
      <c r="K109">
        <v>9</v>
      </c>
      <c r="L109">
        <f>VLOOKUP(Merge1[[#This Row],[제품코드]],공정중_우선순위[[제품코드]:[우선순위]],4,0)</f>
        <v>15</v>
      </c>
      <c r="M109" s="10" t="str">
        <f>_xlfn.TEXTJOIN(CHAR(10), TRUE, ,Merge1[[#This Row],[제품명]],Merge1[[#This Row],[오더번호]],Merge1[[#This Row],[제조번호]],Merge1[[#This Row],[지시수량]])</f>
        <v>아나빅스75mg 반제품
1015334
A002882
600000</v>
      </c>
    </row>
    <row r="110" spans="1:13" ht="54" x14ac:dyDescent="0.25">
      <c r="A110" t="s">
        <v>200</v>
      </c>
      <c r="B110" t="s">
        <v>371</v>
      </c>
      <c r="C110" t="s">
        <v>374</v>
      </c>
      <c r="D110" t="s">
        <v>50</v>
      </c>
      <c r="E110" t="s">
        <v>51</v>
      </c>
      <c r="F110" t="s">
        <v>375</v>
      </c>
      <c r="G110">
        <v>110</v>
      </c>
      <c r="H110" t="s">
        <v>6</v>
      </c>
      <c r="I110" t="s">
        <v>211</v>
      </c>
      <c r="J110">
        <v>600000</v>
      </c>
      <c r="K110">
        <v>9</v>
      </c>
      <c r="L110">
        <f>VLOOKUP(Merge1[[#This Row],[제품코드]],공정중_우선순위[[제품코드]:[우선순위]],4,0)</f>
        <v>15</v>
      </c>
      <c r="M110" s="10" t="str">
        <f>_xlfn.TEXTJOIN(CHAR(10), TRUE, ,Merge1[[#This Row],[제품명]],Merge1[[#This Row],[오더번호]],Merge1[[#This Row],[제조번호]],Merge1[[#This Row],[지시수량]])</f>
        <v>아나빅스75mg 반제품
1015335
A002883
600000</v>
      </c>
    </row>
    <row r="111" spans="1:13" ht="54" x14ac:dyDescent="0.25">
      <c r="A111" t="s">
        <v>200</v>
      </c>
      <c r="B111" t="s">
        <v>371</v>
      </c>
      <c r="C111" t="s">
        <v>376</v>
      </c>
      <c r="D111" t="s">
        <v>50</v>
      </c>
      <c r="E111" t="s">
        <v>51</v>
      </c>
      <c r="F111" t="s">
        <v>377</v>
      </c>
      <c r="G111">
        <v>110</v>
      </c>
      <c r="H111" t="s">
        <v>6</v>
      </c>
      <c r="I111" t="s">
        <v>211</v>
      </c>
      <c r="J111">
        <v>600000</v>
      </c>
      <c r="K111">
        <v>9</v>
      </c>
      <c r="L111">
        <f>VLOOKUP(Merge1[[#This Row],[제품코드]],공정중_우선순위[[제품코드]:[우선순위]],4,0)</f>
        <v>15</v>
      </c>
      <c r="M111" s="10" t="str">
        <f>_xlfn.TEXTJOIN(CHAR(10), TRUE, ,Merge1[[#This Row],[제품명]],Merge1[[#This Row],[오더번호]],Merge1[[#This Row],[제조번호]],Merge1[[#This Row],[지시수량]])</f>
        <v>아나빅스75mg 반제품
1015336
A002884
600000</v>
      </c>
    </row>
    <row r="112" spans="1:13" ht="54" x14ac:dyDescent="0.25">
      <c r="A112" t="s">
        <v>200</v>
      </c>
      <c r="B112" t="s">
        <v>368</v>
      </c>
      <c r="C112" t="s">
        <v>369</v>
      </c>
      <c r="D112" t="s">
        <v>48</v>
      </c>
      <c r="E112" t="s">
        <v>49</v>
      </c>
      <c r="F112" t="s">
        <v>370</v>
      </c>
      <c r="G112">
        <v>60</v>
      </c>
      <c r="H112" t="s">
        <v>5</v>
      </c>
      <c r="I112" t="s">
        <v>280</v>
      </c>
      <c r="J112">
        <v>600000</v>
      </c>
      <c r="K112">
        <v>27</v>
      </c>
      <c r="L112">
        <f>VLOOKUP(Merge1[[#This Row],[제품코드]],공정중_우선순위[[제품코드]:[우선순위]],4,0)</f>
        <v>16</v>
      </c>
      <c r="M112" s="10" t="str">
        <f>_xlfn.TEXTJOIN(CHAR(10), TRUE, ,Merge1[[#This Row],[제품명]],Merge1[[#This Row],[오더번호]],Merge1[[#This Row],[제조번호]],Merge1[[#This Row],[지시수량]])</f>
        <v>아나솔정 반제품
1015556
A002939
600000</v>
      </c>
    </row>
    <row r="113" spans="1:13" ht="54" x14ac:dyDescent="0.25">
      <c r="A113" t="s">
        <v>200</v>
      </c>
      <c r="B113" t="s">
        <v>368</v>
      </c>
      <c r="C113" t="s">
        <v>369</v>
      </c>
      <c r="D113" t="s">
        <v>48</v>
      </c>
      <c r="E113" t="s">
        <v>49</v>
      </c>
      <c r="F113" t="s">
        <v>370</v>
      </c>
      <c r="G113">
        <v>60</v>
      </c>
      <c r="H113" t="s">
        <v>5</v>
      </c>
      <c r="I113" t="s">
        <v>280</v>
      </c>
      <c r="J113">
        <v>600000</v>
      </c>
      <c r="K113">
        <v>27</v>
      </c>
      <c r="L113">
        <f>VLOOKUP(Merge1[[#This Row],[제품코드]],공정중_우선순위[[제품코드]:[우선순위]],4,0)</f>
        <v>16</v>
      </c>
      <c r="M113" s="10" t="str">
        <f>_xlfn.TEXTJOIN(CHAR(10), TRUE, ,Merge1[[#This Row],[제품명]],Merge1[[#This Row],[오더번호]],Merge1[[#This Row],[제조번호]],Merge1[[#This Row],[지시수량]])</f>
        <v>아나솔정 반제품
1015556
A002939
600000</v>
      </c>
    </row>
    <row r="114" spans="1:13" ht="54" x14ac:dyDescent="0.25">
      <c r="A114" t="s">
        <v>200</v>
      </c>
      <c r="B114" t="s">
        <v>368</v>
      </c>
      <c r="C114" t="s">
        <v>369</v>
      </c>
      <c r="D114" t="s">
        <v>48</v>
      </c>
      <c r="E114" t="s">
        <v>49</v>
      </c>
      <c r="F114" t="s">
        <v>370</v>
      </c>
      <c r="G114">
        <v>110</v>
      </c>
      <c r="H114" t="s">
        <v>6</v>
      </c>
      <c r="I114" t="s">
        <v>211</v>
      </c>
      <c r="J114">
        <v>600000</v>
      </c>
      <c r="K114">
        <v>14</v>
      </c>
      <c r="L114">
        <f>VLOOKUP(Merge1[[#This Row],[제품코드]],공정중_우선순위[[제품코드]:[우선순위]],4,0)</f>
        <v>16</v>
      </c>
      <c r="M114" s="10" t="str">
        <f>_xlfn.TEXTJOIN(CHAR(10), TRUE, ,Merge1[[#This Row],[제품명]],Merge1[[#This Row],[오더번호]],Merge1[[#This Row],[제조번호]],Merge1[[#This Row],[지시수량]])</f>
        <v>아나솔정 반제품
1015556
A002939
600000</v>
      </c>
    </row>
    <row r="115" spans="1:13" ht="54" x14ac:dyDescent="0.25">
      <c r="A115" t="s">
        <v>200</v>
      </c>
      <c r="B115" t="s">
        <v>368</v>
      </c>
      <c r="C115" t="s">
        <v>369</v>
      </c>
      <c r="D115" t="s">
        <v>48</v>
      </c>
      <c r="E115" t="s">
        <v>49</v>
      </c>
      <c r="F115" t="s">
        <v>370</v>
      </c>
      <c r="G115">
        <v>110</v>
      </c>
      <c r="H115" t="s">
        <v>6</v>
      </c>
      <c r="I115" t="s">
        <v>211</v>
      </c>
      <c r="J115">
        <v>600000</v>
      </c>
      <c r="K115">
        <v>14</v>
      </c>
      <c r="L115">
        <f>VLOOKUP(Merge1[[#This Row],[제품코드]],공정중_우선순위[[제품코드]:[우선순위]],4,0)</f>
        <v>16</v>
      </c>
      <c r="M115" s="10" t="str">
        <f>_xlfn.TEXTJOIN(CHAR(10), TRUE, ,Merge1[[#This Row],[제품명]],Merge1[[#This Row],[오더번호]],Merge1[[#This Row],[제조번호]],Merge1[[#This Row],[지시수량]])</f>
        <v>아나솔정 반제품
1015556
A002939
600000</v>
      </c>
    </row>
    <row r="116" spans="1:13" ht="54" x14ac:dyDescent="0.25">
      <c r="A116" t="s">
        <v>200</v>
      </c>
      <c r="B116" t="s">
        <v>242</v>
      </c>
      <c r="C116" t="s">
        <v>243</v>
      </c>
      <c r="D116" t="s">
        <v>17</v>
      </c>
      <c r="E116" t="s">
        <v>18</v>
      </c>
      <c r="F116" t="s">
        <v>244</v>
      </c>
      <c r="G116">
        <v>60</v>
      </c>
      <c r="H116" t="s">
        <v>5</v>
      </c>
      <c r="I116" t="s">
        <v>204</v>
      </c>
      <c r="J116">
        <v>300000</v>
      </c>
      <c r="K116">
        <v>21</v>
      </c>
      <c r="L116">
        <f>VLOOKUP(Merge1[[#This Row],[제품코드]],공정중_우선순위[[제품코드]:[우선순위]],4,0)</f>
        <v>17</v>
      </c>
      <c r="M116" s="10" t="str">
        <f>_xlfn.TEXTJOIN(CHAR(10), TRUE, ,Merge1[[#This Row],[제품명]],Merge1[[#This Row],[오더번호]],Merge1[[#This Row],[제조번호]],Merge1[[#This Row],[지시수량]])</f>
        <v>아나탄정16MG 반제품
1015323
A002878
300000</v>
      </c>
    </row>
    <row r="117" spans="1:13" ht="54" x14ac:dyDescent="0.25">
      <c r="A117" t="s">
        <v>200</v>
      </c>
      <c r="B117" t="s">
        <v>242</v>
      </c>
      <c r="C117" t="s">
        <v>245</v>
      </c>
      <c r="D117" t="s">
        <v>17</v>
      </c>
      <c r="E117" t="s">
        <v>18</v>
      </c>
      <c r="F117" t="s">
        <v>246</v>
      </c>
      <c r="G117">
        <v>60</v>
      </c>
      <c r="H117" t="s">
        <v>5</v>
      </c>
      <c r="I117" t="s">
        <v>204</v>
      </c>
      <c r="J117">
        <v>300000</v>
      </c>
      <c r="K117">
        <v>21</v>
      </c>
      <c r="L117">
        <f>VLOOKUP(Merge1[[#This Row],[제품코드]],공정중_우선순위[[제품코드]:[우선순위]],4,0)</f>
        <v>17</v>
      </c>
      <c r="M117" s="10" t="str">
        <f>_xlfn.TEXTJOIN(CHAR(10), TRUE, ,Merge1[[#This Row],[제품명]],Merge1[[#This Row],[오더번호]],Merge1[[#This Row],[제조번호]],Merge1[[#This Row],[지시수량]])</f>
        <v>아나탄정16MG 반제품
1015324
A002879
300000</v>
      </c>
    </row>
    <row r="118" spans="1:13" ht="54" x14ac:dyDescent="0.25">
      <c r="A118" t="s">
        <v>200</v>
      </c>
      <c r="B118" t="s">
        <v>242</v>
      </c>
      <c r="C118" t="s">
        <v>247</v>
      </c>
      <c r="D118" t="s">
        <v>17</v>
      </c>
      <c r="E118" t="s">
        <v>18</v>
      </c>
      <c r="F118" t="s">
        <v>248</v>
      </c>
      <c r="G118">
        <v>60</v>
      </c>
      <c r="H118" t="s">
        <v>5</v>
      </c>
      <c r="I118" t="s">
        <v>204</v>
      </c>
      <c r="J118">
        <v>300000</v>
      </c>
      <c r="K118">
        <v>21</v>
      </c>
      <c r="L118">
        <f>VLOOKUP(Merge1[[#This Row],[제품코드]],공정중_우선순위[[제품코드]:[우선순위]],4,0)</f>
        <v>17</v>
      </c>
      <c r="M118" s="10" t="str">
        <f>_xlfn.TEXTJOIN(CHAR(10), TRUE, ,Merge1[[#This Row],[제품명]],Merge1[[#This Row],[오더번호]],Merge1[[#This Row],[제조번호]],Merge1[[#This Row],[지시수량]])</f>
        <v>아나탄정16MG 반제품
1015591
A002953
300000</v>
      </c>
    </row>
    <row r="119" spans="1:13" ht="54" x14ac:dyDescent="0.25">
      <c r="A119" t="s">
        <v>200</v>
      </c>
      <c r="B119" t="s">
        <v>242</v>
      </c>
      <c r="C119" t="s">
        <v>249</v>
      </c>
      <c r="D119" t="s">
        <v>17</v>
      </c>
      <c r="E119" t="s">
        <v>18</v>
      </c>
      <c r="F119" t="s">
        <v>250</v>
      </c>
      <c r="G119">
        <v>60</v>
      </c>
      <c r="H119" t="s">
        <v>5</v>
      </c>
      <c r="I119" t="s">
        <v>204</v>
      </c>
      <c r="J119">
        <v>300000</v>
      </c>
      <c r="K119">
        <v>21</v>
      </c>
      <c r="L119">
        <f>VLOOKUP(Merge1[[#This Row],[제품코드]],공정중_우선순위[[제품코드]:[우선순위]],4,0)</f>
        <v>17</v>
      </c>
      <c r="M119" s="10" t="str">
        <f>_xlfn.TEXTJOIN(CHAR(10), TRUE, ,Merge1[[#This Row],[제품명]],Merge1[[#This Row],[오더번호]],Merge1[[#This Row],[제조번호]],Merge1[[#This Row],[지시수량]])</f>
        <v>아나탄정16MG 반제품
1015592
A002954
300000</v>
      </c>
    </row>
    <row r="120" spans="1:13" ht="54" x14ac:dyDescent="0.25">
      <c r="A120" t="s">
        <v>200</v>
      </c>
      <c r="B120" t="s">
        <v>242</v>
      </c>
      <c r="C120" t="s">
        <v>243</v>
      </c>
      <c r="D120" t="s">
        <v>17</v>
      </c>
      <c r="E120" t="s">
        <v>18</v>
      </c>
      <c r="F120" t="s">
        <v>244</v>
      </c>
      <c r="G120">
        <v>110</v>
      </c>
      <c r="H120" t="s">
        <v>6</v>
      </c>
      <c r="I120" t="s">
        <v>211</v>
      </c>
      <c r="J120">
        <v>300000</v>
      </c>
      <c r="K120">
        <v>11</v>
      </c>
      <c r="L120">
        <f>VLOOKUP(Merge1[[#This Row],[제품코드]],공정중_우선순위[[제품코드]:[우선순위]],4,0)</f>
        <v>17</v>
      </c>
      <c r="M120" s="10" t="str">
        <f>_xlfn.TEXTJOIN(CHAR(10), TRUE, ,Merge1[[#This Row],[제품명]],Merge1[[#This Row],[오더번호]],Merge1[[#This Row],[제조번호]],Merge1[[#This Row],[지시수량]])</f>
        <v>아나탄정16MG 반제품
1015323
A002878
300000</v>
      </c>
    </row>
    <row r="121" spans="1:13" ht="54" x14ac:dyDescent="0.25">
      <c r="A121" t="s">
        <v>200</v>
      </c>
      <c r="B121" t="s">
        <v>242</v>
      </c>
      <c r="C121" t="s">
        <v>245</v>
      </c>
      <c r="D121" t="s">
        <v>17</v>
      </c>
      <c r="E121" t="s">
        <v>18</v>
      </c>
      <c r="F121" t="s">
        <v>246</v>
      </c>
      <c r="G121">
        <v>110</v>
      </c>
      <c r="H121" t="s">
        <v>6</v>
      </c>
      <c r="I121" t="s">
        <v>211</v>
      </c>
      <c r="J121">
        <v>300000</v>
      </c>
      <c r="K121">
        <v>11</v>
      </c>
      <c r="L121">
        <f>VLOOKUP(Merge1[[#This Row],[제품코드]],공정중_우선순위[[제품코드]:[우선순위]],4,0)</f>
        <v>17</v>
      </c>
      <c r="M121" s="10" t="str">
        <f>_xlfn.TEXTJOIN(CHAR(10), TRUE, ,Merge1[[#This Row],[제품명]],Merge1[[#This Row],[오더번호]],Merge1[[#This Row],[제조번호]],Merge1[[#This Row],[지시수량]])</f>
        <v>아나탄정16MG 반제품
1015324
A002879
300000</v>
      </c>
    </row>
    <row r="122" spans="1:13" ht="54" x14ac:dyDescent="0.25">
      <c r="A122" t="s">
        <v>200</v>
      </c>
      <c r="B122" t="s">
        <v>242</v>
      </c>
      <c r="C122" t="s">
        <v>247</v>
      </c>
      <c r="D122" t="s">
        <v>17</v>
      </c>
      <c r="E122" t="s">
        <v>18</v>
      </c>
      <c r="F122" t="s">
        <v>248</v>
      </c>
      <c r="G122">
        <v>110</v>
      </c>
      <c r="H122" t="s">
        <v>6</v>
      </c>
      <c r="I122" t="s">
        <v>211</v>
      </c>
      <c r="J122">
        <v>300000</v>
      </c>
      <c r="K122">
        <v>11</v>
      </c>
      <c r="L122">
        <f>VLOOKUP(Merge1[[#This Row],[제품코드]],공정중_우선순위[[제품코드]:[우선순위]],4,0)</f>
        <v>17</v>
      </c>
      <c r="M122" s="10" t="str">
        <f>_xlfn.TEXTJOIN(CHAR(10), TRUE, ,Merge1[[#This Row],[제품명]],Merge1[[#This Row],[오더번호]],Merge1[[#This Row],[제조번호]],Merge1[[#This Row],[지시수량]])</f>
        <v>아나탄정16MG 반제품
1015591
A002953
300000</v>
      </c>
    </row>
    <row r="123" spans="1:13" ht="54" x14ac:dyDescent="0.25">
      <c r="A123" t="s">
        <v>200</v>
      </c>
      <c r="B123" t="s">
        <v>242</v>
      </c>
      <c r="C123" t="s">
        <v>249</v>
      </c>
      <c r="D123" t="s">
        <v>17</v>
      </c>
      <c r="E123" t="s">
        <v>18</v>
      </c>
      <c r="F123" t="s">
        <v>250</v>
      </c>
      <c r="G123">
        <v>110</v>
      </c>
      <c r="H123" t="s">
        <v>6</v>
      </c>
      <c r="I123" t="s">
        <v>211</v>
      </c>
      <c r="J123">
        <v>300000</v>
      </c>
      <c r="K123">
        <v>11</v>
      </c>
      <c r="L123">
        <f>VLOOKUP(Merge1[[#This Row],[제품코드]],공정중_우선순위[[제품코드]:[우선순위]],4,0)</f>
        <v>17</v>
      </c>
      <c r="M123" s="10" t="str">
        <f>_xlfn.TEXTJOIN(CHAR(10), TRUE, ,Merge1[[#This Row],[제품명]],Merge1[[#This Row],[오더번호]],Merge1[[#This Row],[제조번호]],Merge1[[#This Row],[지시수량]])</f>
        <v>아나탄정16MG 반제품
1015592
A002954
300000</v>
      </c>
    </row>
    <row r="124" spans="1:13" ht="54" x14ac:dyDescent="0.25">
      <c r="A124" t="s">
        <v>200</v>
      </c>
      <c r="B124" t="s">
        <v>201</v>
      </c>
      <c r="C124" t="s">
        <v>202</v>
      </c>
      <c r="D124" t="s">
        <v>1</v>
      </c>
      <c r="E124" t="s">
        <v>2</v>
      </c>
      <c r="F124" t="s">
        <v>203</v>
      </c>
      <c r="G124">
        <v>60</v>
      </c>
      <c r="H124" t="s">
        <v>5</v>
      </c>
      <c r="I124" t="s">
        <v>204</v>
      </c>
      <c r="J124">
        <v>600000</v>
      </c>
      <c r="K124">
        <v>36</v>
      </c>
      <c r="L124">
        <f>VLOOKUP(Merge1[[#This Row],[제품코드]],공정중_우선순위[[제품코드]:[우선순위]],4,0)</f>
        <v>18</v>
      </c>
      <c r="M124" s="10" t="str">
        <f>_xlfn.TEXTJOIN(CHAR(10), TRUE, ,Merge1[[#This Row],[제품명]],Merge1[[#This Row],[오더번호]],Merge1[[#This Row],[제조번호]],Merge1[[#This Row],[지시수량]])</f>
        <v>아나탄정8MG 반제품
1015326
A002881
600000</v>
      </c>
    </row>
    <row r="125" spans="1:13" ht="54" x14ac:dyDescent="0.25">
      <c r="A125" t="s">
        <v>200</v>
      </c>
      <c r="B125" t="s">
        <v>201</v>
      </c>
      <c r="C125" t="s">
        <v>205</v>
      </c>
      <c r="D125" t="s">
        <v>1</v>
      </c>
      <c r="E125" t="s">
        <v>2</v>
      </c>
      <c r="F125" t="s">
        <v>206</v>
      </c>
      <c r="G125">
        <v>60</v>
      </c>
      <c r="H125" t="s">
        <v>5</v>
      </c>
      <c r="I125" t="s">
        <v>204</v>
      </c>
      <c r="J125">
        <v>600000</v>
      </c>
      <c r="K125">
        <v>36</v>
      </c>
      <c r="L125">
        <f>VLOOKUP(Merge1[[#This Row],[제품코드]],공정중_우선순위[[제품코드]:[우선순위]],4,0)</f>
        <v>18</v>
      </c>
      <c r="M125" s="10" t="str">
        <f>_xlfn.TEXTJOIN(CHAR(10), TRUE, ,Merge1[[#This Row],[제품명]],Merge1[[#This Row],[오더번호]],Merge1[[#This Row],[제조번호]],Merge1[[#This Row],[지시수량]])</f>
        <v>아나탄정8MG 반제품
1015589
A002951
600000</v>
      </c>
    </row>
    <row r="126" spans="1:13" ht="54" x14ac:dyDescent="0.25">
      <c r="A126" t="s">
        <v>200</v>
      </c>
      <c r="B126" t="s">
        <v>201</v>
      </c>
      <c r="C126" t="s">
        <v>207</v>
      </c>
      <c r="D126" t="s">
        <v>1</v>
      </c>
      <c r="E126" t="s">
        <v>2</v>
      </c>
      <c r="F126" t="s">
        <v>208</v>
      </c>
      <c r="G126">
        <v>60</v>
      </c>
      <c r="H126" t="s">
        <v>5</v>
      </c>
      <c r="I126" t="s">
        <v>204</v>
      </c>
      <c r="J126">
        <v>600000</v>
      </c>
      <c r="K126">
        <v>36</v>
      </c>
      <c r="L126">
        <f>VLOOKUP(Merge1[[#This Row],[제품코드]],공정중_우선순위[[제품코드]:[우선순위]],4,0)</f>
        <v>18</v>
      </c>
      <c r="M126" s="10" t="str">
        <f>_xlfn.TEXTJOIN(CHAR(10), TRUE, ,Merge1[[#This Row],[제품명]],Merge1[[#This Row],[오더번호]],Merge1[[#This Row],[제조번호]],Merge1[[#This Row],[지시수량]])</f>
        <v>아나탄정8MG 반제품
1015590
A002952
600000</v>
      </c>
    </row>
    <row r="127" spans="1:13" ht="54" x14ac:dyDescent="0.25">
      <c r="A127" t="s">
        <v>200</v>
      </c>
      <c r="B127" t="s">
        <v>201</v>
      </c>
      <c r="C127" t="s">
        <v>209</v>
      </c>
      <c r="D127" t="s">
        <v>1</v>
      </c>
      <c r="E127" t="s">
        <v>2</v>
      </c>
      <c r="F127" t="s">
        <v>210</v>
      </c>
      <c r="G127">
        <v>110</v>
      </c>
      <c r="H127" t="s">
        <v>6</v>
      </c>
      <c r="I127" t="s">
        <v>211</v>
      </c>
      <c r="J127">
        <v>600000</v>
      </c>
      <c r="K127">
        <v>17</v>
      </c>
      <c r="L127">
        <f>VLOOKUP(Merge1[[#This Row],[제품코드]],공정중_우선순위[[제품코드]:[우선순위]],4,0)</f>
        <v>18</v>
      </c>
      <c r="M127" s="10" t="str">
        <f>_xlfn.TEXTJOIN(CHAR(10), TRUE, ,Merge1[[#This Row],[제품명]],Merge1[[#This Row],[오더번호]],Merge1[[#This Row],[제조번호]],Merge1[[#This Row],[지시수량]])</f>
        <v>아나탄정8MG 반제품
1015325
A002880
600000</v>
      </c>
    </row>
    <row r="128" spans="1:13" ht="54" x14ac:dyDescent="0.25">
      <c r="A128" t="s">
        <v>200</v>
      </c>
      <c r="B128" t="s">
        <v>201</v>
      </c>
      <c r="C128" t="s">
        <v>202</v>
      </c>
      <c r="D128" t="s">
        <v>1</v>
      </c>
      <c r="E128" t="s">
        <v>2</v>
      </c>
      <c r="F128" t="s">
        <v>203</v>
      </c>
      <c r="G128">
        <v>110</v>
      </c>
      <c r="H128" t="s">
        <v>6</v>
      </c>
      <c r="I128" t="s">
        <v>211</v>
      </c>
      <c r="J128">
        <v>600000</v>
      </c>
      <c r="K128">
        <v>17</v>
      </c>
      <c r="L128">
        <f>VLOOKUP(Merge1[[#This Row],[제품코드]],공정중_우선순위[[제품코드]:[우선순위]],4,0)</f>
        <v>18</v>
      </c>
      <c r="M128" s="10" t="str">
        <f>_xlfn.TEXTJOIN(CHAR(10), TRUE, ,Merge1[[#This Row],[제품명]],Merge1[[#This Row],[오더번호]],Merge1[[#This Row],[제조번호]],Merge1[[#This Row],[지시수량]])</f>
        <v>아나탄정8MG 반제품
1015326
A002881
600000</v>
      </c>
    </row>
    <row r="129" spans="1:13" ht="54" x14ac:dyDescent="0.25">
      <c r="A129" t="s">
        <v>200</v>
      </c>
      <c r="B129" t="s">
        <v>201</v>
      </c>
      <c r="C129" t="s">
        <v>205</v>
      </c>
      <c r="D129" t="s">
        <v>1</v>
      </c>
      <c r="E129" t="s">
        <v>2</v>
      </c>
      <c r="F129" t="s">
        <v>206</v>
      </c>
      <c r="G129">
        <v>110</v>
      </c>
      <c r="H129" t="s">
        <v>6</v>
      </c>
      <c r="I129" t="s">
        <v>211</v>
      </c>
      <c r="J129">
        <v>600000</v>
      </c>
      <c r="K129">
        <v>17</v>
      </c>
      <c r="L129">
        <f>VLOOKUP(Merge1[[#This Row],[제품코드]],공정중_우선순위[[제품코드]:[우선순위]],4,0)</f>
        <v>18</v>
      </c>
      <c r="M129" s="10" t="str">
        <f>_xlfn.TEXTJOIN(CHAR(10), TRUE, ,Merge1[[#This Row],[제품명]],Merge1[[#This Row],[오더번호]],Merge1[[#This Row],[제조번호]],Merge1[[#This Row],[지시수량]])</f>
        <v>아나탄정8MG 반제품
1015589
A002951
600000</v>
      </c>
    </row>
    <row r="130" spans="1:13" ht="54" x14ac:dyDescent="0.25">
      <c r="A130" t="s">
        <v>200</v>
      </c>
      <c r="B130" t="s">
        <v>201</v>
      </c>
      <c r="C130" t="s">
        <v>207</v>
      </c>
      <c r="D130" t="s">
        <v>1</v>
      </c>
      <c r="E130" t="s">
        <v>2</v>
      </c>
      <c r="F130" t="s">
        <v>208</v>
      </c>
      <c r="G130">
        <v>110</v>
      </c>
      <c r="H130" t="s">
        <v>6</v>
      </c>
      <c r="I130" t="s">
        <v>211</v>
      </c>
      <c r="J130">
        <v>600000</v>
      </c>
      <c r="K130">
        <v>17</v>
      </c>
      <c r="L130">
        <f>VLOOKUP(Merge1[[#This Row],[제품코드]],공정중_우선순위[[제품코드]:[우선순위]],4,0)</f>
        <v>18</v>
      </c>
      <c r="M130" s="10" t="str">
        <f>_xlfn.TEXTJOIN(CHAR(10), TRUE, ,Merge1[[#This Row],[제품명]],Merge1[[#This Row],[오더번호]],Merge1[[#This Row],[제조번호]],Merge1[[#This Row],[지시수량]])</f>
        <v>아나탄정8MG 반제품
1015590
A002952
600000</v>
      </c>
    </row>
    <row r="131" spans="1:13" ht="54" x14ac:dyDescent="0.25">
      <c r="A131" t="s">
        <v>200</v>
      </c>
      <c r="B131" t="s">
        <v>256</v>
      </c>
      <c r="C131" t="s">
        <v>257</v>
      </c>
      <c r="D131" t="s">
        <v>21</v>
      </c>
      <c r="E131" t="s">
        <v>22</v>
      </c>
      <c r="F131" t="s">
        <v>258</v>
      </c>
      <c r="G131">
        <v>110</v>
      </c>
      <c r="H131" t="s">
        <v>6</v>
      </c>
      <c r="I131" t="s">
        <v>211</v>
      </c>
      <c r="J131">
        <v>600000</v>
      </c>
      <c r="K131">
        <v>9</v>
      </c>
      <c r="L131">
        <f>VLOOKUP(Merge1[[#This Row],[제품코드]],공정중_우선순위[[제품코드]:[우선순위]],4,0)</f>
        <v>19</v>
      </c>
      <c r="M131" s="10" t="str">
        <f>_xlfn.TEXTJOIN(CHAR(10), TRUE, ,Merge1[[#This Row],[제품명]],Merge1[[#This Row],[오더번호]],Merge1[[#This Row],[제조번호]],Merge1[[#This Row],[지시수량]])</f>
        <v>아주브론정12.5MG 반제품
1015263
A002869
600000</v>
      </c>
    </row>
    <row r="132" spans="1:13" ht="54" x14ac:dyDescent="0.25">
      <c r="A132" t="s">
        <v>200</v>
      </c>
      <c r="B132" t="s">
        <v>256</v>
      </c>
      <c r="C132" t="s">
        <v>259</v>
      </c>
      <c r="D132" t="s">
        <v>21</v>
      </c>
      <c r="E132" t="s">
        <v>22</v>
      </c>
      <c r="F132" t="s">
        <v>260</v>
      </c>
      <c r="G132">
        <v>110</v>
      </c>
      <c r="H132" t="s">
        <v>6</v>
      </c>
      <c r="I132" t="s">
        <v>211</v>
      </c>
      <c r="J132">
        <v>600000</v>
      </c>
      <c r="K132">
        <v>9</v>
      </c>
      <c r="L132">
        <f>VLOOKUP(Merge1[[#This Row],[제품코드]],공정중_우선순위[[제품코드]:[우선순위]],4,0)</f>
        <v>19</v>
      </c>
      <c r="M132" s="10" t="str">
        <f>_xlfn.TEXTJOIN(CHAR(10), TRUE, ,Merge1[[#This Row],[제품명]],Merge1[[#This Row],[오더번호]],Merge1[[#This Row],[제조번호]],Merge1[[#This Row],[지시수량]])</f>
        <v>아주브론정12.5MG 반제품
1015264
A002870
600000</v>
      </c>
    </row>
    <row r="133" spans="1:13" ht="67.5" x14ac:dyDescent="0.25">
      <c r="A133" t="s">
        <v>200</v>
      </c>
      <c r="B133" t="s">
        <v>488</v>
      </c>
      <c r="C133" t="s">
        <v>526</v>
      </c>
      <c r="D133" t="s">
        <v>112</v>
      </c>
      <c r="E133" t="s">
        <v>113</v>
      </c>
      <c r="F133" t="s">
        <v>527</v>
      </c>
      <c r="G133">
        <v>30</v>
      </c>
      <c r="H133" t="s">
        <v>104</v>
      </c>
      <c r="I133" t="s">
        <v>491</v>
      </c>
      <c r="J133">
        <v>400000</v>
      </c>
      <c r="K133">
        <v>5</v>
      </c>
      <c r="L133">
        <f>VLOOKUP(Merge1[[#This Row],[제품코드]],공정중_우선순위[[제품코드]:[우선순위]],4,0)</f>
        <v>20</v>
      </c>
      <c r="M133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34" spans="1:13" ht="67.5" x14ac:dyDescent="0.25">
      <c r="A134" t="s">
        <v>200</v>
      </c>
      <c r="B134" t="s">
        <v>488</v>
      </c>
      <c r="C134" t="s">
        <v>412</v>
      </c>
      <c r="D134" t="s">
        <v>112</v>
      </c>
      <c r="E134" t="s">
        <v>113</v>
      </c>
      <c r="F134" t="s">
        <v>528</v>
      </c>
      <c r="G134">
        <v>30</v>
      </c>
      <c r="H134" t="s">
        <v>104</v>
      </c>
      <c r="I134" t="s">
        <v>491</v>
      </c>
      <c r="J134">
        <v>400000</v>
      </c>
      <c r="K134">
        <v>5</v>
      </c>
      <c r="L134">
        <f>VLOOKUP(Merge1[[#This Row],[제품코드]],공정중_우선순위[[제품코드]:[우선순위]],4,0)</f>
        <v>20</v>
      </c>
      <c r="M134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35" spans="1:13" ht="67.5" x14ac:dyDescent="0.25">
      <c r="A135" t="s">
        <v>200</v>
      </c>
      <c r="B135" t="s">
        <v>488</v>
      </c>
      <c r="C135" t="s">
        <v>526</v>
      </c>
      <c r="D135" t="s">
        <v>112</v>
      </c>
      <c r="E135" t="s">
        <v>113</v>
      </c>
      <c r="F135" t="s">
        <v>527</v>
      </c>
      <c r="G135">
        <v>40</v>
      </c>
      <c r="H135" t="s">
        <v>105</v>
      </c>
      <c r="I135" t="s">
        <v>496</v>
      </c>
      <c r="J135">
        <v>400000</v>
      </c>
      <c r="K135">
        <v>7</v>
      </c>
      <c r="L135">
        <f>VLOOKUP(Merge1[[#This Row],[제품코드]],공정중_우선순위[[제품코드]:[우선순위]],4,0)</f>
        <v>20</v>
      </c>
      <c r="M135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36" spans="1:13" ht="67.5" x14ac:dyDescent="0.25">
      <c r="A136" t="s">
        <v>200</v>
      </c>
      <c r="B136" t="s">
        <v>488</v>
      </c>
      <c r="C136" t="s">
        <v>412</v>
      </c>
      <c r="D136" t="s">
        <v>112</v>
      </c>
      <c r="E136" t="s">
        <v>113</v>
      </c>
      <c r="F136" t="s">
        <v>528</v>
      </c>
      <c r="G136">
        <v>40</v>
      </c>
      <c r="H136" t="s">
        <v>105</v>
      </c>
      <c r="I136" t="s">
        <v>496</v>
      </c>
      <c r="J136">
        <v>400000</v>
      </c>
      <c r="K136">
        <v>7</v>
      </c>
      <c r="L136">
        <f>VLOOKUP(Merge1[[#This Row],[제품코드]],공정중_우선순위[[제품코드]:[우선순위]],4,0)</f>
        <v>20</v>
      </c>
      <c r="M136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37" spans="1:13" ht="67.5" x14ac:dyDescent="0.25">
      <c r="A137" t="s">
        <v>200</v>
      </c>
      <c r="B137" t="s">
        <v>488</v>
      </c>
      <c r="C137" t="s">
        <v>526</v>
      </c>
      <c r="D137" t="s">
        <v>112</v>
      </c>
      <c r="E137" t="s">
        <v>113</v>
      </c>
      <c r="F137" t="s">
        <v>527</v>
      </c>
      <c r="G137">
        <v>50</v>
      </c>
      <c r="H137" t="s">
        <v>106</v>
      </c>
      <c r="I137" t="s">
        <v>382</v>
      </c>
      <c r="J137">
        <v>400000</v>
      </c>
      <c r="K137">
        <v>3</v>
      </c>
      <c r="L137">
        <f>VLOOKUP(Merge1[[#This Row],[제품코드]],공정중_우선순위[[제품코드]:[우선순위]],4,0)</f>
        <v>20</v>
      </c>
      <c r="M137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38" spans="1:13" ht="67.5" x14ac:dyDescent="0.25">
      <c r="A138" t="s">
        <v>200</v>
      </c>
      <c r="B138" t="s">
        <v>488</v>
      </c>
      <c r="C138" t="s">
        <v>412</v>
      </c>
      <c r="D138" t="s">
        <v>112</v>
      </c>
      <c r="E138" t="s">
        <v>113</v>
      </c>
      <c r="F138" t="s">
        <v>528</v>
      </c>
      <c r="G138">
        <v>50</v>
      </c>
      <c r="H138" t="s">
        <v>106</v>
      </c>
      <c r="I138" t="s">
        <v>382</v>
      </c>
      <c r="J138">
        <v>400000</v>
      </c>
      <c r="K138">
        <v>3</v>
      </c>
      <c r="L138">
        <f>VLOOKUP(Merge1[[#This Row],[제품코드]],공정중_우선순위[[제품코드]:[우선순위]],4,0)</f>
        <v>20</v>
      </c>
      <c r="M138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39" spans="1:13" ht="67.5" x14ac:dyDescent="0.25">
      <c r="A139" t="s">
        <v>200</v>
      </c>
      <c r="B139" t="s">
        <v>488</v>
      </c>
      <c r="C139" t="s">
        <v>526</v>
      </c>
      <c r="D139" t="s">
        <v>112</v>
      </c>
      <c r="E139" t="s">
        <v>113</v>
      </c>
      <c r="F139" t="s">
        <v>527</v>
      </c>
      <c r="G139">
        <v>51</v>
      </c>
      <c r="H139" t="s">
        <v>107</v>
      </c>
      <c r="I139" t="s">
        <v>222</v>
      </c>
      <c r="J139">
        <v>400000</v>
      </c>
      <c r="K139">
        <v>3</v>
      </c>
      <c r="L139">
        <f>VLOOKUP(Merge1[[#This Row],[제품코드]],공정중_우선순위[[제품코드]:[우선순위]],4,0)</f>
        <v>20</v>
      </c>
      <c r="M139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40" spans="1:13" ht="67.5" x14ac:dyDescent="0.25">
      <c r="A140" t="s">
        <v>200</v>
      </c>
      <c r="B140" t="s">
        <v>488</v>
      </c>
      <c r="C140" t="s">
        <v>412</v>
      </c>
      <c r="D140" t="s">
        <v>112</v>
      </c>
      <c r="E140" t="s">
        <v>113</v>
      </c>
      <c r="F140" t="s">
        <v>528</v>
      </c>
      <c r="G140">
        <v>51</v>
      </c>
      <c r="H140" t="s">
        <v>107</v>
      </c>
      <c r="I140" t="s">
        <v>222</v>
      </c>
      <c r="J140">
        <v>400000</v>
      </c>
      <c r="K140">
        <v>3</v>
      </c>
      <c r="L140">
        <f>VLOOKUP(Merge1[[#This Row],[제품코드]],공정중_우선순위[[제품코드]:[우선순위]],4,0)</f>
        <v>20</v>
      </c>
      <c r="M140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41" spans="1:13" ht="67.5" x14ac:dyDescent="0.25">
      <c r="A141" t="s">
        <v>200</v>
      </c>
      <c r="B141" t="s">
        <v>488</v>
      </c>
      <c r="C141" t="s">
        <v>526</v>
      </c>
      <c r="D141" t="s">
        <v>112</v>
      </c>
      <c r="E141" t="s">
        <v>113</v>
      </c>
      <c r="F141" t="s">
        <v>527</v>
      </c>
      <c r="G141">
        <v>60</v>
      </c>
      <c r="H141" t="s">
        <v>5</v>
      </c>
      <c r="I141" t="s">
        <v>501</v>
      </c>
      <c r="J141">
        <v>400000</v>
      </c>
      <c r="K141">
        <v>23</v>
      </c>
      <c r="L141">
        <f>VLOOKUP(Merge1[[#This Row],[제품코드]],공정중_우선순위[[제품코드]:[우선순위]],4,0)</f>
        <v>20</v>
      </c>
      <c r="M141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42" spans="1:13" ht="67.5" x14ac:dyDescent="0.25">
      <c r="A142" t="s">
        <v>200</v>
      </c>
      <c r="B142" t="s">
        <v>488</v>
      </c>
      <c r="C142" t="s">
        <v>412</v>
      </c>
      <c r="D142" t="s">
        <v>112</v>
      </c>
      <c r="E142" t="s">
        <v>113</v>
      </c>
      <c r="F142" t="s">
        <v>528</v>
      </c>
      <c r="G142">
        <v>60</v>
      </c>
      <c r="H142" t="s">
        <v>5</v>
      </c>
      <c r="I142" t="s">
        <v>501</v>
      </c>
      <c r="J142">
        <v>400000</v>
      </c>
      <c r="K142">
        <v>23</v>
      </c>
      <c r="L142">
        <f>VLOOKUP(Merge1[[#This Row],[제품코드]],공정중_우선순위[[제품코드]:[우선순위]],4,0)</f>
        <v>20</v>
      </c>
      <c r="M142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43" spans="1:13" ht="67.5" x14ac:dyDescent="0.25">
      <c r="A143" t="s">
        <v>200</v>
      </c>
      <c r="B143" t="s">
        <v>488</v>
      </c>
      <c r="C143" t="s">
        <v>526</v>
      </c>
      <c r="D143" t="s">
        <v>112</v>
      </c>
      <c r="E143" t="s">
        <v>113</v>
      </c>
      <c r="F143" t="s">
        <v>527</v>
      </c>
      <c r="G143">
        <v>80</v>
      </c>
      <c r="H143" t="s">
        <v>9</v>
      </c>
      <c r="I143" t="s">
        <v>327</v>
      </c>
      <c r="J143">
        <v>400000</v>
      </c>
      <c r="K143">
        <v>12</v>
      </c>
      <c r="L143">
        <f>VLOOKUP(Merge1[[#This Row],[제품코드]],공정중_우선순위[[제품코드]:[우선순위]],4,0)</f>
        <v>20</v>
      </c>
      <c r="M143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44" spans="1:13" ht="67.5" x14ac:dyDescent="0.25">
      <c r="A144" t="s">
        <v>200</v>
      </c>
      <c r="B144" t="s">
        <v>488</v>
      </c>
      <c r="C144" t="s">
        <v>412</v>
      </c>
      <c r="D144" t="s">
        <v>112</v>
      </c>
      <c r="E144" t="s">
        <v>113</v>
      </c>
      <c r="F144" t="s">
        <v>528</v>
      </c>
      <c r="G144">
        <v>80</v>
      </c>
      <c r="H144" t="s">
        <v>9</v>
      </c>
      <c r="I144" t="s">
        <v>327</v>
      </c>
      <c r="J144">
        <v>400000</v>
      </c>
      <c r="K144">
        <v>12</v>
      </c>
      <c r="L144">
        <f>VLOOKUP(Merge1[[#This Row],[제품코드]],공정중_우선순위[[제품코드]:[우선순위]],4,0)</f>
        <v>20</v>
      </c>
      <c r="M144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45" spans="1:13" ht="67.5" x14ac:dyDescent="0.25">
      <c r="A145" t="s">
        <v>200</v>
      </c>
      <c r="B145" t="s">
        <v>488</v>
      </c>
      <c r="C145" t="s">
        <v>526</v>
      </c>
      <c r="D145" t="s">
        <v>112</v>
      </c>
      <c r="E145" t="s">
        <v>113</v>
      </c>
      <c r="F145" t="s">
        <v>527</v>
      </c>
      <c r="G145">
        <v>100</v>
      </c>
      <c r="H145" t="s">
        <v>14</v>
      </c>
      <c r="I145" t="s">
        <v>233</v>
      </c>
      <c r="J145">
        <v>400000</v>
      </c>
      <c r="K145">
        <v>7</v>
      </c>
      <c r="L145">
        <f>VLOOKUP(Merge1[[#This Row],[제품코드]],공정중_우선순위[[제품코드]:[우선순위]],4,0)</f>
        <v>20</v>
      </c>
      <c r="M145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46" spans="1:13" ht="67.5" x14ac:dyDescent="0.25">
      <c r="A146" t="s">
        <v>200</v>
      </c>
      <c r="B146" t="s">
        <v>488</v>
      </c>
      <c r="C146" t="s">
        <v>412</v>
      </c>
      <c r="D146" t="s">
        <v>112</v>
      </c>
      <c r="E146" t="s">
        <v>113</v>
      </c>
      <c r="F146" t="s">
        <v>528</v>
      </c>
      <c r="G146">
        <v>100</v>
      </c>
      <c r="H146" t="s">
        <v>14</v>
      </c>
      <c r="I146" t="s">
        <v>233</v>
      </c>
      <c r="J146">
        <v>400000</v>
      </c>
      <c r="K146">
        <v>7</v>
      </c>
      <c r="L146">
        <f>VLOOKUP(Merge1[[#This Row],[제품코드]],공정중_우선순위[[제품코드]:[우선순위]],4,0)</f>
        <v>20</v>
      </c>
      <c r="M146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47" spans="1:13" ht="67.5" x14ac:dyDescent="0.25">
      <c r="A147" t="s">
        <v>200</v>
      </c>
      <c r="B147" t="s">
        <v>488</v>
      </c>
      <c r="C147" t="s">
        <v>526</v>
      </c>
      <c r="D147" t="s">
        <v>112</v>
      </c>
      <c r="E147" t="s">
        <v>113</v>
      </c>
      <c r="F147" t="s">
        <v>527</v>
      </c>
      <c r="G147">
        <v>110</v>
      </c>
      <c r="H147" t="s">
        <v>6</v>
      </c>
      <c r="I147" t="s">
        <v>234</v>
      </c>
      <c r="J147">
        <v>400000</v>
      </c>
      <c r="K147">
        <v>6</v>
      </c>
      <c r="L147">
        <f>VLOOKUP(Merge1[[#This Row],[제품코드]],공정중_우선순위[[제품코드]:[우선순위]],4,0)</f>
        <v>20</v>
      </c>
      <c r="M147" s="10" t="str">
        <f>_xlfn.TEXTJOIN(CHAR(10), TRUE, ,Merge1[[#This Row],[제품명]],Merge1[[#This Row],[오더번호]],Merge1[[#This Row],[제조번호]],Merge1[[#This Row],[지시수량]])</f>
        <v>에어페낙듀오정 반제품 (동구바이오제약)
1015654
25003
400000</v>
      </c>
    </row>
    <row r="148" spans="1:13" ht="67.5" x14ac:dyDescent="0.25">
      <c r="A148" t="s">
        <v>200</v>
      </c>
      <c r="B148" t="s">
        <v>488</v>
      </c>
      <c r="C148" t="s">
        <v>412</v>
      </c>
      <c r="D148" t="s">
        <v>112</v>
      </c>
      <c r="E148" t="s">
        <v>113</v>
      </c>
      <c r="F148" t="s">
        <v>528</v>
      </c>
      <c r="G148">
        <v>110</v>
      </c>
      <c r="H148" t="s">
        <v>6</v>
      </c>
      <c r="I148" t="s">
        <v>234</v>
      </c>
      <c r="J148">
        <v>400000</v>
      </c>
      <c r="K148">
        <v>6</v>
      </c>
      <c r="L148">
        <f>VLOOKUP(Merge1[[#This Row],[제품코드]],공정중_우선순위[[제품코드]:[우선순위]],4,0)</f>
        <v>20</v>
      </c>
      <c r="M148" s="10" t="str">
        <f>_xlfn.TEXTJOIN(CHAR(10), TRUE, ,Merge1[[#This Row],[제품명]],Merge1[[#This Row],[오더번호]],Merge1[[#This Row],[제조번호]],Merge1[[#This Row],[지시수량]])</f>
        <v>에어페낙듀오정 반제품 (동구바이오제약)
1015655
25004
400000</v>
      </c>
    </row>
    <row r="149" spans="1:13" ht="67.5" x14ac:dyDescent="0.25">
      <c r="A149" t="s">
        <v>200</v>
      </c>
      <c r="B149" t="s">
        <v>488</v>
      </c>
      <c r="C149" t="s">
        <v>518</v>
      </c>
      <c r="D149" t="s">
        <v>110</v>
      </c>
      <c r="E149" t="s">
        <v>111</v>
      </c>
      <c r="F149" t="s">
        <v>519</v>
      </c>
      <c r="G149">
        <v>60</v>
      </c>
      <c r="H149" t="s">
        <v>5</v>
      </c>
      <c r="I149" t="s">
        <v>501</v>
      </c>
      <c r="J149">
        <v>400000</v>
      </c>
      <c r="K149">
        <v>23</v>
      </c>
      <c r="L149">
        <f>VLOOKUP(Merge1[[#This Row],[제품코드]],공정중_우선순위[[제품코드]:[우선순위]],4,0)</f>
        <v>21</v>
      </c>
      <c r="M149" s="10" t="str">
        <f>_xlfn.TEXTJOIN(CHAR(10), TRUE, ,Merge1[[#This Row],[제품명]],Merge1[[#This Row],[오더번호]],Merge1[[#This Row],[제조번호]],Merge1[[#This Row],[지시수량]])</f>
        <v>에페신에이스정 반제품 (명문제약)
1015436
25032
400000</v>
      </c>
    </row>
    <row r="150" spans="1:13" ht="67.5" x14ac:dyDescent="0.25">
      <c r="A150" t="s">
        <v>200</v>
      </c>
      <c r="B150" t="s">
        <v>488</v>
      </c>
      <c r="C150" t="s">
        <v>520</v>
      </c>
      <c r="D150" t="s">
        <v>110</v>
      </c>
      <c r="E150" t="s">
        <v>111</v>
      </c>
      <c r="F150" t="s">
        <v>521</v>
      </c>
      <c r="G150">
        <v>80</v>
      </c>
      <c r="H150" t="s">
        <v>9</v>
      </c>
      <c r="I150" t="s">
        <v>327</v>
      </c>
      <c r="J150">
        <v>400000</v>
      </c>
      <c r="K150">
        <v>12</v>
      </c>
      <c r="L150">
        <f>VLOOKUP(Merge1[[#This Row],[제품코드]],공정중_우선순위[[제품코드]:[우선순위]],4,0)</f>
        <v>21</v>
      </c>
      <c r="M150" s="10" t="str">
        <f>_xlfn.TEXTJOIN(CHAR(10), TRUE, ,Merge1[[#This Row],[제품명]],Merge1[[#This Row],[오더번호]],Merge1[[#This Row],[제조번호]],Merge1[[#This Row],[지시수량]])</f>
        <v>에페신에이스정 반제품 (명문제약)
1015428
25029
400000</v>
      </c>
    </row>
    <row r="151" spans="1:13" ht="67.5" x14ac:dyDescent="0.25">
      <c r="A151" t="s">
        <v>200</v>
      </c>
      <c r="B151" t="s">
        <v>488</v>
      </c>
      <c r="C151" t="s">
        <v>522</v>
      </c>
      <c r="D151" t="s">
        <v>110</v>
      </c>
      <c r="E151" t="s">
        <v>111</v>
      </c>
      <c r="F151" t="s">
        <v>523</v>
      </c>
      <c r="G151">
        <v>80</v>
      </c>
      <c r="H151" t="s">
        <v>9</v>
      </c>
      <c r="I151" t="s">
        <v>327</v>
      </c>
      <c r="J151">
        <v>400000</v>
      </c>
      <c r="K151">
        <v>12</v>
      </c>
      <c r="L151">
        <f>VLOOKUP(Merge1[[#This Row],[제품코드]],공정중_우선순위[[제품코드]:[우선순위]],4,0)</f>
        <v>21</v>
      </c>
      <c r="M151" s="10" t="str">
        <f>_xlfn.TEXTJOIN(CHAR(10), TRUE, ,Merge1[[#This Row],[제품명]],Merge1[[#This Row],[오더번호]],Merge1[[#This Row],[제조번호]],Merge1[[#This Row],[지시수량]])</f>
        <v>에페신에이스정 반제품 (명문제약)
1015429
25030
400000</v>
      </c>
    </row>
    <row r="152" spans="1:13" ht="67.5" x14ac:dyDescent="0.25">
      <c r="A152" t="s">
        <v>200</v>
      </c>
      <c r="B152" t="s">
        <v>488</v>
      </c>
      <c r="C152" t="s">
        <v>524</v>
      </c>
      <c r="D152" t="s">
        <v>110</v>
      </c>
      <c r="E152" t="s">
        <v>111</v>
      </c>
      <c r="F152" t="s">
        <v>525</v>
      </c>
      <c r="G152">
        <v>80</v>
      </c>
      <c r="H152" t="s">
        <v>9</v>
      </c>
      <c r="I152" t="s">
        <v>327</v>
      </c>
      <c r="J152">
        <v>400000</v>
      </c>
      <c r="K152">
        <v>12</v>
      </c>
      <c r="L152">
        <f>VLOOKUP(Merge1[[#This Row],[제품코드]],공정중_우선순위[[제품코드]:[우선순위]],4,0)</f>
        <v>21</v>
      </c>
      <c r="M152" s="10" t="str">
        <f>_xlfn.TEXTJOIN(CHAR(10), TRUE, ,Merge1[[#This Row],[제품명]],Merge1[[#This Row],[오더번호]],Merge1[[#This Row],[제조번호]],Merge1[[#This Row],[지시수량]])</f>
        <v>에페신에이스정 반제품 (명문제약)
1015435
25031
400000</v>
      </c>
    </row>
    <row r="153" spans="1:13" ht="67.5" x14ac:dyDescent="0.25">
      <c r="A153" t="s">
        <v>200</v>
      </c>
      <c r="B153" t="s">
        <v>488</v>
      </c>
      <c r="C153" t="s">
        <v>518</v>
      </c>
      <c r="D153" t="s">
        <v>110</v>
      </c>
      <c r="E153" t="s">
        <v>111</v>
      </c>
      <c r="F153" t="s">
        <v>519</v>
      </c>
      <c r="G153">
        <v>80</v>
      </c>
      <c r="H153" t="s">
        <v>9</v>
      </c>
      <c r="I153" t="s">
        <v>327</v>
      </c>
      <c r="J153">
        <v>400000</v>
      </c>
      <c r="K153">
        <v>12</v>
      </c>
      <c r="L153">
        <f>VLOOKUP(Merge1[[#This Row],[제품코드]],공정중_우선순위[[제품코드]:[우선순위]],4,0)</f>
        <v>21</v>
      </c>
      <c r="M153" s="10" t="str">
        <f>_xlfn.TEXTJOIN(CHAR(10), TRUE, ,Merge1[[#This Row],[제품명]],Merge1[[#This Row],[오더번호]],Merge1[[#This Row],[제조번호]],Merge1[[#This Row],[지시수량]])</f>
        <v>에페신에이스정 반제품 (명문제약)
1015436
25032
400000</v>
      </c>
    </row>
    <row r="154" spans="1:13" ht="67.5" x14ac:dyDescent="0.25">
      <c r="A154" t="s">
        <v>200</v>
      </c>
      <c r="B154" t="s">
        <v>488</v>
      </c>
      <c r="C154" t="s">
        <v>520</v>
      </c>
      <c r="D154" t="s">
        <v>110</v>
      </c>
      <c r="E154" t="s">
        <v>111</v>
      </c>
      <c r="F154" t="s">
        <v>521</v>
      </c>
      <c r="G154">
        <v>100</v>
      </c>
      <c r="H154" t="s">
        <v>14</v>
      </c>
      <c r="I154" t="s">
        <v>233</v>
      </c>
      <c r="J154">
        <v>400000</v>
      </c>
      <c r="K154">
        <v>7</v>
      </c>
      <c r="L154">
        <f>VLOOKUP(Merge1[[#This Row],[제품코드]],공정중_우선순위[[제품코드]:[우선순위]],4,0)</f>
        <v>21</v>
      </c>
      <c r="M154" s="10" t="str">
        <f>_xlfn.TEXTJOIN(CHAR(10), TRUE, ,Merge1[[#This Row],[제품명]],Merge1[[#This Row],[오더번호]],Merge1[[#This Row],[제조번호]],Merge1[[#This Row],[지시수량]])</f>
        <v>에페신에이스정 반제품 (명문제약)
1015428
25029
400000</v>
      </c>
    </row>
    <row r="155" spans="1:13" ht="67.5" x14ac:dyDescent="0.25">
      <c r="A155" t="s">
        <v>200</v>
      </c>
      <c r="B155" t="s">
        <v>488</v>
      </c>
      <c r="C155" t="s">
        <v>522</v>
      </c>
      <c r="D155" t="s">
        <v>110</v>
      </c>
      <c r="E155" t="s">
        <v>111</v>
      </c>
      <c r="F155" t="s">
        <v>523</v>
      </c>
      <c r="G155">
        <v>100</v>
      </c>
      <c r="H155" t="s">
        <v>14</v>
      </c>
      <c r="I155" t="s">
        <v>233</v>
      </c>
      <c r="J155">
        <v>400000</v>
      </c>
      <c r="K155">
        <v>7</v>
      </c>
      <c r="L155">
        <f>VLOOKUP(Merge1[[#This Row],[제품코드]],공정중_우선순위[[제품코드]:[우선순위]],4,0)</f>
        <v>21</v>
      </c>
      <c r="M155" s="10" t="str">
        <f>_xlfn.TEXTJOIN(CHAR(10), TRUE, ,Merge1[[#This Row],[제품명]],Merge1[[#This Row],[오더번호]],Merge1[[#This Row],[제조번호]],Merge1[[#This Row],[지시수량]])</f>
        <v>에페신에이스정 반제품 (명문제약)
1015429
25030
400000</v>
      </c>
    </row>
    <row r="156" spans="1:13" ht="67.5" x14ac:dyDescent="0.25">
      <c r="A156" t="s">
        <v>200</v>
      </c>
      <c r="B156" t="s">
        <v>488</v>
      </c>
      <c r="C156" t="s">
        <v>524</v>
      </c>
      <c r="D156" t="s">
        <v>110</v>
      </c>
      <c r="E156" t="s">
        <v>111</v>
      </c>
      <c r="F156" t="s">
        <v>525</v>
      </c>
      <c r="G156">
        <v>100</v>
      </c>
      <c r="H156" t="s">
        <v>14</v>
      </c>
      <c r="I156" t="s">
        <v>233</v>
      </c>
      <c r="J156">
        <v>400000</v>
      </c>
      <c r="K156">
        <v>7</v>
      </c>
      <c r="L156">
        <f>VLOOKUP(Merge1[[#This Row],[제품코드]],공정중_우선순위[[제품코드]:[우선순위]],4,0)</f>
        <v>21</v>
      </c>
      <c r="M156" s="10" t="str">
        <f>_xlfn.TEXTJOIN(CHAR(10), TRUE, ,Merge1[[#This Row],[제품명]],Merge1[[#This Row],[오더번호]],Merge1[[#This Row],[제조번호]],Merge1[[#This Row],[지시수량]])</f>
        <v>에페신에이스정 반제품 (명문제약)
1015435
25031
400000</v>
      </c>
    </row>
    <row r="157" spans="1:13" ht="67.5" x14ac:dyDescent="0.25">
      <c r="A157" t="s">
        <v>200</v>
      </c>
      <c r="B157" t="s">
        <v>488</v>
      </c>
      <c r="C157" t="s">
        <v>518</v>
      </c>
      <c r="D157" t="s">
        <v>110</v>
      </c>
      <c r="E157" t="s">
        <v>111</v>
      </c>
      <c r="F157" t="s">
        <v>519</v>
      </c>
      <c r="G157">
        <v>100</v>
      </c>
      <c r="H157" t="s">
        <v>14</v>
      </c>
      <c r="I157" t="s">
        <v>233</v>
      </c>
      <c r="J157">
        <v>400000</v>
      </c>
      <c r="K157">
        <v>7</v>
      </c>
      <c r="L157">
        <f>VLOOKUP(Merge1[[#This Row],[제품코드]],공정중_우선순위[[제품코드]:[우선순위]],4,0)</f>
        <v>21</v>
      </c>
      <c r="M157" s="10" t="str">
        <f>_xlfn.TEXTJOIN(CHAR(10), TRUE, ,Merge1[[#This Row],[제품명]],Merge1[[#This Row],[오더번호]],Merge1[[#This Row],[제조번호]],Merge1[[#This Row],[지시수량]])</f>
        <v>에페신에이스정 반제품 (명문제약)
1015436
25032
400000</v>
      </c>
    </row>
    <row r="158" spans="1:13" ht="67.5" x14ac:dyDescent="0.25">
      <c r="A158" t="s">
        <v>200</v>
      </c>
      <c r="B158" t="s">
        <v>488</v>
      </c>
      <c r="C158" t="s">
        <v>520</v>
      </c>
      <c r="D158" t="s">
        <v>110</v>
      </c>
      <c r="E158" t="s">
        <v>111</v>
      </c>
      <c r="F158" t="s">
        <v>521</v>
      </c>
      <c r="G158">
        <v>110</v>
      </c>
      <c r="H158" t="s">
        <v>6</v>
      </c>
      <c r="I158" t="s">
        <v>234</v>
      </c>
      <c r="J158">
        <v>400000</v>
      </c>
      <c r="K158">
        <v>6</v>
      </c>
      <c r="L158">
        <f>VLOOKUP(Merge1[[#This Row],[제품코드]],공정중_우선순위[[제품코드]:[우선순위]],4,0)</f>
        <v>21</v>
      </c>
      <c r="M158" s="10" t="str">
        <f>_xlfn.TEXTJOIN(CHAR(10), TRUE, ,Merge1[[#This Row],[제품명]],Merge1[[#This Row],[오더번호]],Merge1[[#This Row],[제조번호]],Merge1[[#This Row],[지시수량]])</f>
        <v>에페신에이스정 반제품 (명문제약)
1015428
25029
400000</v>
      </c>
    </row>
    <row r="159" spans="1:13" ht="67.5" x14ac:dyDescent="0.25">
      <c r="A159" t="s">
        <v>200</v>
      </c>
      <c r="B159" t="s">
        <v>488</v>
      </c>
      <c r="C159" t="s">
        <v>522</v>
      </c>
      <c r="D159" t="s">
        <v>110</v>
      </c>
      <c r="E159" t="s">
        <v>111</v>
      </c>
      <c r="F159" t="s">
        <v>523</v>
      </c>
      <c r="G159">
        <v>110</v>
      </c>
      <c r="H159" t="s">
        <v>6</v>
      </c>
      <c r="I159" t="s">
        <v>234</v>
      </c>
      <c r="J159">
        <v>400000</v>
      </c>
      <c r="K159">
        <v>6</v>
      </c>
      <c r="L159">
        <f>VLOOKUP(Merge1[[#This Row],[제품코드]],공정중_우선순위[[제품코드]:[우선순위]],4,0)</f>
        <v>21</v>
      </c>
      <c r="M159" s="10" t="str">
        <f>_xlfn.TEXTJOIN(CHAR(10), TRUE, ,Merge1[[#This Row],[제품명]],Merge1[[#This Row],[오더번호]],Merge1[[#This Row],[제조번호]],Merge1[[#This Row],[지시수량]])</f>
        <v>에페신에이스정 반제품 (명문제약)
1015429
25030
400000</v>
      </c>
    </row>
    <row r="160" spans="1:13" ht="67.5" x14ac:dyDescent="0.25">
      <c r="A160" t="s">
        <v>200</v>
      </c>
      <c r="B160" t="s">
        <v>488</v>
      </c>
      <c r="C160" t="s">
        <v>524</v>
      </c>
      <c r="D160" t="s">
        <v>110</v>
      </c>
      <c r="E160" t="s">
        <v>111</v>
      </c>
      <c r="F160" t="s">
        <v>525</v>
      </c>
      <c r="G160">
        <v>110</v>
      </c>
      <c r="H160" t="s">
        <v>6</v>
      </c>
      <c r="I160" t="s">
        <v>234</v>
      </c>
      <c r="J160">
        <v>400000</v>
      </c>
      <c r="K160">
        <v>6</v>
      </c>
      <c r="L160">
        <f>VLOOKUP(Merge1[[#This Row],[제품코드]],공정중_우선순위[[제품코드]:[우선순위]],4,0)</f>
        <v>21</v>
      </c>
      <c r="M160" s="10" t="str">
        <f>_xlfn.TEXTJOIN(CHAR(10), TRUE, ,Merge1[[#This Row],[제품명]],Merge1[[#This Row],[오더번호]],Merge1[[#This Row],[제조번호]],Merge1[[#This Row],[지시수량]])</f>
        <v>에페신에이스정 반제품 (명문제약)
1015435
25031
400000</v>
      </c>
    </row>
    <row r="161" spans="1:13" ht="67.5" x14ac:dyDescent="0.25">
      <c r="A161" t="s">
        <v>200</v>
      </c>
      <c r="B161" t="s">
        <v>488</v>
      </c>
      <c r="C161" t="s">
        <v>518</v>
      </c>
      <c r="D161" t="s">
        <v>110</v>
      </c>
      <c r="E161" t="s">
        <v>111</v>
      </c>
      <c r="F161" t="s">
        <v>519</v>
      </c>
      <c r="G161">
        <v>110</v>
      </c>
      <c r="H161" t="s">
        <v>6</v>
      </c>
      <c r="I161" t="s">
        <v>234</v>
      </c>
      <c r="J161">
        <v>400000</v>
      </c>
      <c r="K161">
        <v>6</v>
      </c>
      <c r="L161">
        <f>VLOOKUP(Merge1[[#This Row],[제품코드]],공정중_우선순위[[제품코드]:[우선순위]],4,0)</f>
        <v>21</v>
      </c>
      <c r="M161" s="10" t="str">
        <f>_xlfn.TEXTJOIN(CHAR(10), TRUE, ,Merge1[[#This Row],[제품명]],Merge1[[#This Row],[오더번호]],Merge1[[#This Row],[제조번호]],Merge1[[#This Row],[지시수량]])</f>
        <v>에페신에이스정 반제품 (명문제약)
1015436
25032
400000</v>
      </c>
    </row>
    <row r="162" spans="1:13" ht="54" x14ac:dyDescent="0.25">
      <c r="A162" t="s">
        <v>200</v>
      </c>
      <c r="B162" t="s">
        <v>488</v>
      </c>
      <c r="C162" t="s">
        <v>497</v>
      </c>
      <c r="D162" t="s">
        <v>108</v>
      </c>
      <c r="E162" t="s">
        <v>109</v>
      </c>
      <c r="F162" t="s">
        <v>498</v>
      </c>
      <c r="G162">
        <v>30</v>
      </c>
      <c r="H162" t="s">
        <v>104</v>
      </c>
      <c r="I162" t="s">
        <v>491</v>
      </c>
      <c r="J162">
        <v>400000</v>
      </c>
      <c r="K162">
        <v>5</v>
      </c>
      <c r="L162">
        <f>VLOOKUP(Merge1[[#This Row],[제품코드]],공정중_우선순위[[제품코드]:[우선순위]],4,0)</f>
        <v>22</v>
      </c>
      <c r="M162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63" spans="1:13" ht="54" x14ac:dyDescent="0.25">
      <c r="A163" t="s">
        <v>200</v>
      </c>
      <c r="B163" t="s">
        <v>488</v>
      </c>
      <c r="C163" t="s">
        <v>497</v>
      </c>
      <c r="D163" t="s">
        <v>108</v>
      </c>
      <c r="E163" t="s">
        <v>109</v>
      </c>
      <c r="F163" t="s">
        <v>498</v>
      </c>
      <c r="G163">
        <v>40</v>
      </c>
      <c r="H163" t="s">
        <v>105</v>
      </c>
      <c r="I163" t="s">
        <v>496</v>
      </c>
      <c r="J163">
        <v>400000</v>
      </c>
      <c r="K163">
        <v>7</v>
      </c>
      <c r="L163">
        <f>VLOOKUP(Merge1[[#This Row],[제품코드]],공정중_우선순위[[제품코드]:[우선순위]],4,0)</f>
        <v>22</v>
      </c>
      <c r="M163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64" spans="1:13" ht="54" x14ac:dyDescent="0.25">
      <c r="A164" t="s">
        <v>200</v>
      </c>
      <c r="B164" t="s">
        <v>488</v>
      </c>
      <c r="C164" t="s">
        <v>497</v>
      </c>
      <c r="D164" t="s">
        <v>108</v>
      </c>
      <c r="E164" t="s">
        <v>109</v>
      </c>
      <c r="F164" t="s">
        <v>498</v>
      </c>
      <c r="G164">
        <v>50</v>
      </c>
      <c r="H164" t="s">
        <v>106</v>
      </c>
      <c r="I164" t="s">
        <v>382</v>
      </c>
      <c r="J164">
        <v>400000</v>
      </c>
      <c r="K164">
        <v>3</v>
      </c>
      <c r="L164">
        <f>VLOOKUP(Merge1[[#This Row],[제품코드]],공정중_우선순위[[제품코드]:[우선순위]],4,0)</f>
        <v>22</v>
      </c>
      <c r="M164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65" spans="1:13" ht="54" x14ac:dyDescent="0.25">
      <c r="A165" t="s">
        <v>200</v>
      </c>
      <c r="B165" t="s">
        <v>488</v>
      </c>
      <c r="C165" t="s">
        <v>497</v>
      </c>
      <c r="D165" t="s">
        <v>108</v>
      </c>
      <c r="E165" t="s">
        <v>109</v>
      </c>
      <c r="F165" t="s">
        <v>498</v>
      </c>
      <c r="G165">
        <v>51</v>
      </c>
      <c r="H165" t="s">
        <v>107</v>
      </c>
      <c r="I165" t="s">
        <v>222</v>
      </c>
      <c r="J165">
        <v>400000</v>
      </c>
      <c r="K165">
        <v>3</v>
      </c>
      <c r="L165">
        <f>VLOOKUP(Merge1[[#This Row],[제품코드]],공정중_우선순위[[제품코드]:[우선순위]],4,0)</f>
        <v>22</v>
      </c>
      <c r="M165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66" spans="1:13" ht="54" x14ac:dyDescent="0.25">
      <c r="A166" t="s">
        <v>200</v>
      </c>
      <c r="B166" t="s">
        <v>488</v>
      </c>
      <c r="C166" t="s">
        <v>499</v>
      </c>
      <c r="D166" t="s">
        <v>108</v>
      </c>
      <c r="E166" t="s">
        <v>109</v>
      </c>
      <c r="F166" t="s">
        <v>500</v>
      </c>
      <c r="G166">
        <v>60</v>
      </c>
      <c r="H166" t="s">
        <v>5</v>
      </c>
      <c r="I166" t="s">
        <v>501</v>
      </c>
      <c r="J166">
        <v>400000</v>
      </c>
      <c r="K166">
        <v>23</v>
      </c>
      <c r="L166">
        <f>VLOOKUP(Merge1[[#This Row],[제품코드]],공정중_우선순위[[제품코드]:[우선순위]],4,0)</f>
        <v>22</v>
      </c>
      <c r="M166" s="10" t="str">
        <f>_xlfn.TEXTJOIN(CHAR(10), TRUE, ,Merge1[[#This Row],[제품명]],Merge1[[#This Row],[오더번호]],Merge1[[#This Row],[제조번호]],Merge1[[#This Row],[지시수량]])</f>
        <v>아세리손정 반제품 (마더스제약)
1015401
5030
400000</v>
      </c>
    </row>
    <row r="167" spans="1:13" ht="54" x14ac:dyDescent="0.25">
      <c r="A167" t="s">
        <v>200</v>
      </c>
      <c r="B167" t="s">
        <v>488</v>
      </c>
      <c r="C167" t="s">
        <v>502</v>
      </c>
      <c r="D167" t="s">
        <v>108</v>
      </c>
      <c r="E167" t="s">
        <v>109</v>
      </c>
      <c r="F167" t="s">
        <v>503</v>
      </c>
      <c r="G167">
        <v>60</v>
      </c>
      <c r="H167" t="s">
        <v>5</v>
      </c>
      <c r="I167" t="s">
        <v>501</v>
      </c>
      <c r="J167">
        <v>400000</v>
      </c>
      <c r="K167">
        <v>23</v>
      </c>
      <c r="L167">
        <f>VLOOKUP(Merge1[[#This Row],[제품코드]],공정중_우선순위[[제품코드]:[우선순위]],4,0)</f>
        <v>22</v>
      </c>
      <c r="M167" s="10" t="str">
        <f>_xlfn.TEXTJOIN(CHAR(10), TRUE, ,Merge1[[#This Row],[제품명]],Merge1[[#This Row],[오더번호]],Merge1[[#This Row],[제조번호]],Merge1[[#This Row],[지시수량]])</f>
        <v>아세리손정 반제품 (마더스제약)
1015402
5031
400000</v>
      </c>
    </row>
    <row r="168" spans="1:13" ht="54" x14ac:dyDescent="0.25">
      <c r="A168" t="s">
        <v>200</v>
      </c>
      <c r="B168" t="s">
        <v>488</v>
      </c>
      <c r="C168" t="s">
        <v>497</v>
      </c>
      <c r="D168" t="s">
        <v>108</v>
      </c>
      <c r="E168" t="s">
        <v>109</v>
      </c>
      <c r="F168" t="s">
        <v>498</v>
      </c>
      <c r="G168">
        <v>60</v>
      </c>
      <c r="H168" t="s">
        <v>5</v>
      </c>
      <c r="I168" t="s">
        <v>501</v>
      </c>
      <c r="J168">
        <v>400000</v>
      </c>
      <c r="K168">
        <v>23</v>
      </c>
      <c r="L168">
        <f>VLOOKUP(Merge1[[#This Row],[제품코드]],공정중_우선순위[[제품코드]:[우선순위]],4,0)</f>
        <v>22</v>
      </c>
      <c r="M168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69" spans="1:13" ht="54" x14ac:dyDescent="0.25">
      <c r="A169" t="s">
        <v>200</v>
      </c>
      <c r="B169" t="s">
        <v>488</v>
      </c>
      <c r="C169" t="s">
        <v>504</v>
      </c>
      <c r="D169" t="s">
        <v>108</v>
      </c>
      <c r="E169" t="s">
        <v>109</v>
      </c>
      <c r="F169" t="s">
        <v>505</v>
      </c>
      <c r="G169">
        <v>80</v>
      </c>
      <c r="H169" t="s">
        <v>9</v>
      </c>
      <c r="I169" t="s">
        <v>232</v>
      </c>
      <c r="J169">
        <v>400000</v>
      </c>
      <c r="K169">
        <v>12</v>
      </c>
      <c r="L169">
        <f>VLOOKUP(Merge1[[#This Row],[제품코드]],공정중_우선순위[[제품코드]:[우선순위]],4,0)</f>
        <v>22</v>
      </c>
      <c r="M169" s="10" t="str">
        <f>_xlfn.TEXTJOIN(CHAR(10), TRUE, ,Merge1[[#This Row],[제품명]],Merge1[[#This Row],[오더번호]],Merge1[[#This Row],[제조번호]],Merge1[[#This Row],[지시수량]])</f>
        <v>아세리손정 반제품 (마더스제약)
1015216
5027
400000</v>
      </c>
    </row>
    <row r="170" spans="1:13" ht="54" x14ac:dyDescent="0.25">
      <c r="A170" t="s">
        <v>200</v>
      </c>
      <c r="B170" t="s">
        <v>488</v>
      </c>
      <c r="C170" t="s">
        <v>506</v>
      </c>
      <c r="D170" t="s">
        <v>108</v>
      </c>
      <c r="E170" t="s">
        <v>109</v>
      </c>
      <c r="F170" t="s">
        <v>507</v>
      </c>
      <c r="G170">
        <v>80</v>
      </c>
      <c r="H170" t="s">
        <v>9</v>
      </c>
      <c r="I170" t="s">
        <v>232</v>
      </c>
      <c r="J170">
        <v>400000</v>
      </c>
      <c r="K170">
        <v>12</v>
      </c>
      <c r="L170">
        <f>VLOOKUP(Merge1[[#This Row],[제품코드]],공정중_우선순위[[제품코드]:[우선순위]],4,0)</f>
        <v>22</v>
      </c>
      <c r="M170" s="10" t="str">
        <f>_xlfn.TEXTJOIN(CHAR(10), TRUE, ,Merge1[[#This Row],[제품명]],Merge1[[#This Row],[오더번호]],Merge1[[#This Row],[제조번호]],Merge1[[#This Row],[지시수량]])</f>
        <v>아세리손정 반제품 (마더스제약)
1015385
5028
400000</v>
      </c>
    </row>
    <row r="171" spans="1:13" ht="54" x14ac:dyDescent="0.25">
      <c r="A171" t="s">
        <v>200</v>
      </c>
      <c r="B171" t="s">
        <v>488</v>
      </c>
      <c r="C171" t="s">
        <v>508</v>
      </c>
      <c r="D171" t="s">
        <v>108</v>
      </c>
      <c r="E171" t="s">
        <v>109</v>
      </c>
      <c r="F171" t="s">
        <v>509</v>
      </c>
      <c r="G171">
        <v>80</v>
      </c>
      <c r="H171" t="s">
        <v>9</v>
      </c>
      <c r="I171" t="s">
        <v>232</v>
      </c>
      <c r="J171">
        <v>400000</v>
      </c>
      <c r="K171">
        <v>12</v>
      </c>
      <c r="L171">
        <f>VLOOKUP(Merge1[[#This Row],[제품코드]],공정중_우선순위[[제품코드]:[우선순위]],4,0)</f>
        <v>22</v>
      </c>
      <c r="M171" s="10" t="str">
        <f>_xlfn.TEXTJOIN(CHAR(10), TRUE, ,Merge1[[#This Row],[제품명]],Merge1[[#This Row],[오더번호]],Merge1[[#This Row],[제조번호]],Merge1[[#This Row],[지시수량]])</f>
        <v>아세리손정 반제품 (마더스제약)
1015386
5029
400000</v>
      </c>
    </row>
    <row r="172" spans="1:13" ht="54" x14ac:dyDescent="0.25">
      <c r="A172" t="s">
        <v>200</v>
      </c>
      <c r="B172" t="s">
        <v>488</v>
      </c>
      <c r="C172" t="s">
        <v>499</v>
      </c>
      <c r="D172" t="s">
        <v>108</v>
      </c>
      <c r="E172" t="s">
        <v>109</v>
      </c>
      <c r="F172" t="s">
        <v>500</v>
      </c>
      <c r="G172">
        <v>80</v>
      </c>
      <c r="H172" t="s">
        <v>9</v>
      </c>
      <c r="I172" t="s">
        <v>232</v>
      </c>
      <c r="J172">
        <v>400000</v>
      </c>
      <c r="K172">
        <v>12</v>
      </c>
      <c r="L172">
        <f>VLOOKUP(Merge1[[#This Row],[제품코드]],공정중_우선순위[[제품코드]:[우선순위]],4,0)</f>
        <v>22</v>
      </c>
      <c r="M172" s="10" t="str">
        <f>_xlfn.TEXTJOIN(CHAR(10), TRUE, ,Merge1[[#This Row],[제품명]],Merge1[[#This Row],[오더번호]],Merge1[[#This Row],[제조번호]],Merge1[[#This Row],[지시수량]])</f>
        <v>아세리손정 반제품 (마더스제약)
1015401
5030
400000</v>
      </c>
    </row>
    <row r="173" spans="1:13" ht="54" x14ac:dyDescent="0.25">
      <c r="A173" t="s">
        <v>200</v>
      </c>
      <c r="B173" t="s">
        <v>488</v>
      </c>
      <c r="C173" t="s">
        <v>502</v>
      </c>
      <c r="D173" t="s">
        <v>108</v>
      </c>
      <c r="E173" t="s">
        <v>109</v>
      </c>
      <c r="F173" t="s">
        <v>503</v>
      </c>
      <c r="G173">
        <v>80</v>
      </c>
      <c r="H173" t="s">
        <v>9</v>
      </c>
      <c r="I173" t="s">
        <v>232</v>
      </c>
      <c r="J173">
        <v>400000</v>
      </c>
      <c r="K173">
        <v>12</v>
      </c>
      <c r="L173">
        <f>VLOOKUP(Merge1[[#This Row],[제품코드]],공정중_우선순위[[제품코드]:[우선순위]],4,0)</f>
        <v>22</v>
      </c>
      <c r="M173" s="10" t="str">
        <f>_xlfn.TEXTJOIN(CHAR(10), TRUE, ,Merge1[[#This Row],[제품명]],Merge1[[#This Row],[오더번호]],Merge1[[#This Row],[제조번호]],Merge1[[#This Row],[지시수량]])</f>
        <v>아세리손정 반제품 (마더스제약)
1015402
5031
400000</v>
      </c>
    </row>
    <row r="174" spans="1:13" ht="54" x14ac:dyDescent="0.25">
      <c r="A174" t="s">
        <v>200</v>
      </c>
      <c r="B174" t="s">
        <v>488</v>
      </c>
      <c r="C174" t="s">
        <v>497</v>
      </c>
      <c r="D174" t="s">
        <v>108</v>
      </c>
      <c r="E174" t="s">
        <v>109</v>
      </c>
      <c r="F174" t="s">
        <v>498</v>
      </c>
      <c r="G174">
        <v>80</v>
      </c>
      <c r="H174" t="s">
        <v>9</v>
      </c>
      <c r="I174" t="s">
        <v>327</v>
      </c>
      <c r="J174">
        <v>400000</v>
      </c>
      <c r="K174">
        <v>12</v>
      </c>
      <c r="L174">
        <f>VLOOKUP(Merge1[[#This Row],[제품코드]],공정중_우선순위[[제품코드]:[우선순위]],4,0)</f>
        <v>22</v>
      </c>
      <c r="M174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75" spans="1:13" ht="54" x14ac:dyDescent="0.25">
      <c r="A175" t="s">
        <v>200</v>
      </c>
      <c r="B175" t="s">
        <v>488</v>
      </c>
      <c r="C175" t="s">
        <v>506</v>
      </c>
      <c r="D175" t="s">
        <v>108</v>
      </c>
      <c r="E175" t="s">
        <v>109</v>
      </c>
      <c r="F175" t="s">
        <v>507</v>
      </c>
      <c r="G175">
        <v>100</v>
      </c>
      <c r="H175" t="s">
        <v>14</v>
      </c>
      <c r="I175" t="s">
        <v>233</v>
      </c>
      <c r="J175">
        <v>400000</v>
      </c>
      <c r="K175">
        <v>7</v>
      </c>
      <c r="L175">
        <f>VLOOKUP(Merge1[[#This Row],[제품코드]],공정중_우선순위[[제품코드]:[우선순위]],4,0)</f>
        <v>22</v>
      </c>
      <c r="M175" s="10" t="str">
        <f>_xlfn.TEXTJOIN(CHAR(10), TRUE, ,Merge1[[#This Row],[제품명]],Merge1[[#This Row],[오더번호]],Merge1[[#This Row],[제조번호]],Merge1[[#This Row],[지시수량]])</f>
        <v>아세리손정 반제품 (마더스제약)
1015385
5028
400000</v>
      </c>
    </row>
    <row r="176" spans="1:13" ht="54" x14ac:dyDescent="0.25">
      <c r="A176" t="s">
        <v>200</v>
      </c>
      <c r="B176" t="s">
        <v>488</v>
      </c>
      <c r="C176" t="s">
        <v>508</v>
      </c>
      <c r="D176" t="s">
        <v>108</v>
      </c>
      <c r="E176" t="s">
        <v>109</v>
      </c>
      <c r="F176" t="s">
        <v>509</v>
      </c>
      <c r="G176">
        <v>100</v>
      </c>
      <c r="H176" t="s">
        <v>14</v>
      </c>
      <c r="I176" t="s">
        <v>233</v>
      </c>
      <c r="J176">
        <v>400000</v>
      </c>
      <c r="K176">
        <v>7</v>
      </c>
      <c r="L176">
        <f>VLOOKUP(Merge1[[#This Row],[제품코드]],공정중_우선순위[[제품코드]:[우선순위]],4,0)</f>
        <v>22</v>
      </c>
      <c r="M176" s="10" t="str">
        <f>_xlfn.TEXTJOIN(CHAR(10), TRUE, ,Merge1[[#This Row],[제품명]],Merge1[[#This Row],[오더번호]],Merge1[[#This Row],[제조번호]],Merge1[[#This Row],[지시수량]])</f>
        <v>아세리손정 반제품 (마더스제약)
1015386
5029
400000</v>
      </c>
    </row>
    <row r="177" spans="1:13" ht="54" x14ac:dyDescent="0.25">
      <c r="A177" t="s">
        <v>200</v>
      </c>
      <c r="B177" t="s">
        <v>488</v>
      </c>
      <c r="C177" t="s">
        <v>499</v>
      </c>
      <c r="D177" t="s">
        <v>108</v>
      </c>
      <c r="E177" t="s">
        <v>109</v>
      </c>
      <c r="F177" t="s">
        <v>500</v>
      </c>
      <c r="G177">
        <v>100</v>
      </c>
      <c r="H177" t="s">
        <v>14</v>
      </c>
      <c r="I177" t="s">
        <v>233</v>
      </c>
      <c r="J177">
        <v>400000</v>
      </c>
      <c r="K177">
        <v>7</v>
      </c>
      <c r="L177">
        <f>VLOOKUP(Merge1[[#This Row],[제품코드]],공정중_우선순위[[제품코드]:[우선순위]],4,0)</f>
        <v>22</v>
      </c>
      <c r="M177" s="10" t="str">
        <f>_xlfn.TEXTJOIN(CHAR(10), TRUE, ,Merge1[[#This Row],[제품명]],Merge1[[#This Row],[오더번호]],Merge1[[#This Row],[제조번호]],Merge1[[#This Row],[지시수량]])</f>
        <v>아세리손정 반제품 (마더스제약)
1015401
5030
400000</v>
      </c>
    </row>
    <row r="178" spans="1:13" ht="54" x14ac:dyDescent="0.25">
      <c r="A178" t="s">
        <v>200</v>
      </c>
      <c r="B178" t="s">
        <v>488</v>
      </c>
      <c r="C178" t="s">
        <v>502</v>
      </c>
      <c r="D178" t="s">
        <v>108</v>
      </c>
      <c r="E178" t="s">
        <v>109</v>
      </c>
      <c r="F178" t="s">
        <v>503</v>
      </c>
      <c r="G178">
        <v>100</v>
      </c>
      <c r="H178" t="s">
        <v>14</v>
      </c>
      <c r="I178" t="s">
        <v>233</v>
      </c>
      <c r="J178">
        <v>400000</v>
      </c>
      <c r="K178">
        <v>7</v>
      </c>
      <c r="L178">
        <f>VLOOKUP(Merge1[[#This Row],[제품코드]],공정중_우선순위[[제품코드]:[우선순위]],4,0)</f>
        <v>22</v>
      </c>
      <c r="M178" s="10" t="str">
        <f>_xlfn.TEXTJOIN(CHAR(10), TRUE, ,Merge1[[#This Row],[제품명]],Merge1[[#This Row],[오더번호]],Merge1[[#This Row],[제조번호]],Merge1[[#This Row],[지시수량]])</f>
        <v>아세리손정 반제품 (마더스제약)
1015402
5031
400000</v>
      </c>
    </row>
    <row r="179" spans="1:13" ht="54" x14ac:dyDescent="0.25">
      <c r="A179" t="s">
        <v>200</v>
      </c>
      <c r="B179" t="s">
        <v>488</v>
      </c>
      <c r="C179" t="s">
        <v>497</v>
      </c>
      <c r="D179" t="s">
        <v>108</v>
      </c>
      <c r="E179" t="s">
        <v>109</v>
      </c>
      <c r="F179" t="s">
        <v>498</v>
      </c>
      <c r="G179">
        <v>100</v>
      </c>
      <c r="H179" t="s">
        <v>14</v>
      </c>
      <c r="I179" t="s">
        <v>233</v>
      </c>
      <c r="J179">
        <v>400000</v>
      </c>
      <c r="K179">
        <v>7</v>
      </c>
      <c r="L179">
        <f>VLOOKUP(Merge1[[#This Row],[제품코드]],공정중_우선순위[[제품코드]:[우선순위]],4,0)</f>
        <v>22</v>
      </c>
      <c r="M179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80" spans="1:13" ht="54" x14ac:dyDescent="0.25">
      <c r="A180" t="s">
        <v>200</v>
      </c>
      <c r="B180" t="s">
        <v>488</v>
      </c>
      <c r="C180" t="s">
        <v>510</v>
      </c>
      <c r="D180" t="s">
        <v>108</v>
      </c>
      <c r="E180" t="s">
        <v>109</v>
      </c>
      <c r="F180" t="s">
        <v>511</v>
      </c>
      <c r="G180">
        <v>110</v>
      </c>
      <c r="H180" t="s">
        <v>6</v>
      </c>
      <c r="I180" t="s">
        <v>234</v>
      </c>
      <c r="J180">
        <v>400000</v>
      </c>
      <c r="K180">
        <v>6</v>
      </c>
      <c r="L180">
        <f>VLOOKUP(Merge1[[#This Row],[제품코드]],공정중_우선순위[[제품코드]:[우선순위]],4,0)</f>
        <v>22</v>
      </c>
      <c r="M180" s="10" t="str">
        <f>_xlfn.TEXTJOIN(CHAR(10), TRUE, ,Merge1[[#This Row],[제품명]],Merge1[[#This Row],[오더번호]],Merge1[[#This Row],[제조번호]],Merge1[[#This Row],[지시수량]])</f>
        <v>아세리손정 반제품 (마더스제약)
1015209
5023
400000</v>
      </c>
    </row>
    <row r="181" spans="1:13" ht="54" x14ac:dyDescent="0.25">
      <c r="A181" t="s">
        <v>200</v>
      </c>
      <c r="B181" t="s">
        <v>488</v>
      </c>
      <c r="C181" t="s">
        <v>512</v>
      </c>
      <c r="D181" t="s">
        <v>108</v>
      </c>
      <c r="E181" t="s">
        <v>109</v>
      </c>
      <c r="F181" t="s">
        <v>513</v>
      </c>
      <c r="G181">
        <v>110</v>
      </c>
      <c r="H181" t="s">
        <v>6</v>
      </c>
      <c r="I181" t="s">
        <v>234</v>
      </c>
      <c r="J181">
        <v>400000</v>
      </c>
      <c r="K181">
        <v>6</v>
      </c>
      <c r="L181">
        <f>VLOOKUP(Merge1[[#This Row],[제품코드]],공정중_우선순위[[제품코드]:[우선순위]],4,0)</f>
        <v>22</v>
      </c>
      <c r="M181" s="10" t="str">
        <f>_xlfn.TEXTJOIN(CHAR(10), TRUE, ,Merge1[[#This Row],[제품명]],Merge1[[#This Row],[오더번호]],Merge1[[#This Row],[제조번호]],Merge1[[#This Row],[지시수량]])</f>
        <v>아세리손정 반제품 (마더스제약)
1015210
5024
400000</v>
      </c>
    </row>
    <row r="182" spans="1:13" ht="54" x14ac:dyDescent="0.25">
      <c r="A182" t="s">
        <v>200</v>
      </c>
      <c r="B182" t="s">
        <v>488</v>
      </c>
      <c r="C182" t="s">
        <v>514</v>
      </c>
      <c r="D182" t="s">
        <v>108</v>
      </c>
      <c r="E182" t="s">
        <v>109</v>
      </c>
      <c r="F182" t="s">
        <v>515</v>
      </c>
      <c r="G182">
        <v>110</v>
      </c>
      <c r="H182" t="s">
        <v>6</v>
      </c>
      <c r="I182" t="s">
        <v>234</v>
      </c>
      <c r="J182">
        <v>400000</v>
      </c>
      <c r="K182">
        <v>6</v>
      </c>
      <c r="L182">
        <f>VLOOKUP(Merge1[[#This Row],[제품코드]],공정중_우선순위[[제품코드]:[우선순위]],4,0)</f>
        <v>22</v>
      </c>
      <c r="M182" s="10" t="str">
        <f>_xlfn.TEXTJOIN(CHAR(10), TRUE, ,Merge1[[#This Row],[제품명]],Merge1[[#This Row],[오더번호]],Merge1[[#This Row],[제조번호]],Merge1[[#This Row],[지시수량]])</f>
        <v>아세리손정 반제품 (마더스제약)
1015214
5025
400000</v>
      </c>
    </row>
    <row r="183" spans="1:13" ht="54" x14ac:dyDescent="0.25">
      <c r="A183" t="s">
        <v>200</v>
      </c>
      <c r="B183" t="s">
        <v>488</v>
      </c>
      <c r="C183" t="s">
        <v>516</v>
      </c>
      <c r="D183" t="s">
        <v>108</v>
      </c>
      <c r="E183" t="s">
        <v>109</v>
      </c>
      <c r="F183" t="s">
        <v>517</v>
      </c>
      <c r="G183">
        <v>110</v>
      </c>
      <c r="H183" t="s">
        <v>6</v>
      </c>
      <c r="I183" t="s">
        <v>234</v>
      </c>
      <c r="J183">
        <v>400000</v>
      </c>
      <c r="K183">
        <v>6</v>
      </c>
      <c r="L183">
        <f>VLOOKUP(Merge1[[#This Row],[제품코드]],공정중_우선순위[[제품코드]:[우선순위]],4,0)</f>
        <v>22</v>
      </c>
      <c r="M183" s="10" t="str">
        <f>_xlfn.TEXTJOIN(CHAR(10), TRUE, ,Merge1[[#This Row],[제품명]],Merge1[[#This Row],[오더번호]],Merge1[[#This Row],[제조번호]],Merge1[[#This Row],[지시수량]])</f>
        <v>아세리손정 반제품 (마더스제약)
1015215
5026
400000</v>
      </c>
    </row>
    <row r="184" spans="1:13" ht="54" x14ac:dyDescent="0.25">
      <c r="A184" t="s">
        <v>200</v>
      </c>
      <c r="B184" t="s">
        <v>488</v>
      </c>
      <c r="C184" t="s">
        <v>504</v>
      </c>
      <c r="D184" t="s">
        <v>108</v>
      </c>
      <c r="E184" t="s">
        <v>109</v>
      </c>
      <c r="F184" t="s">
        <v>505</v>
      </c>
      <c r="G184">
        <v>110</v>
      </c>
      <c r="H184" t="s">
        <v>6</v>
      </c>
      <c r="I184" t="s">
        <v>234</v>
      </c>
      <c r="J184">
        <v>400000</v>
      </c>
      <c r="K184">
        <v>6</v>
      </c>
      <c r="L184">
        <f>VLOOKUP(Merge1[[#This Row],[제품코드]],공정중_우선순위[[제품코드]:[우선순위]],4,0)</f>
        <v>22</v>
      </c>
      <c r="M184" s="10" t="str">
        <f>_xlfn.TEXTJOIN(CHAR(10), TRUE, ,Merge1[[#This Row],[제품명]],Merge1[[#This Row],[오더번호]],Merge1[[#This Row],[제조번호]],Merge1[[#This Row],[지시수량]])</f>
        <v>아세리손정 반제품 (마더스제약)
1015216
5027
400000</v>
      </c>
    </row>
    <row r="185" spans="1:13" ht="54" x14ac:dyDescent="0.25">
      <c r="A185" t="s">
        <v>200</v>
      </c>
      <c r="B185" t="s">
        <v>488</v>
      </c>
      <c r="C185" t="s">
        <v>506</v>
      </c>
      <c r="D185" t="s">
        <v>108</v>
      </c>
      <c r="E185" t="s">
        <v>109</v>
      </c>
      <c r="F185" t="s">
        <v>507</v>
      </c>
      <c r="G185">
        <v>110</v>
      </c>
      <c r="H185" t="s">
        <v>6</v>
      </c>
      <c r="I185" t="s">
        <v>234</v>
      </c>
      <c r="J185">
        <v>400000</v>
      </c>
      <c r="K185">
        <v>6</v>
      </c>
      <c r="L185">
        <f>VLOOKUP(Merge1[[#This Row],[제품코드]],공정중_우선순위[[제품코드]:[우선순위]],4,0)</f>
        <v>22</v>
      </c>
      <c r="M185" s="10" t="str">
        <f>_xlfn.TEXTJOIN(CHAR(10), TRUE, ,Merge1[[#This Row],[제품명]],Merge1[[#This Row],[오더번호]],Merge1[[#This Row],[제조번호]],Merge1[[#This Row],[지시수량]])</f>
        <v>아세리손정 반제품 (마더스제약)
1015385
5028
400000</v>
      </c>
    </row>
    <row r="186" spans="1:13" ht="54" x14ac:dyDescent="0.25">
      <c r="A186" t="s">
        <v>200</v>
      </c>
      <c r="B186" t="s">
        <v>488</v>
      </c>
      <c r="C186" t="s">
        <v>508</v>
      </c>
      <c r="D186" t="s">
        <v>108</v>
      </c>
      <c r="E186" t="s">
        <v>109</v>
      </c>
      <c r="F186" t="s">
        <v>509</v>
      </c>
      <c r="G186">
        <v>110</v>
      </c>
      <c r="H186" t="s">
        <v>6</v>
      </c>
      <c r="I186" t="s">
        <v>234</v>
      </c>
      <c r="J186">
        <v>400000</v>
      </c>
      <c r="K186">
        <v>6</v>
      </c>
      <c r="L186">
        <f>VLOOKUP(Merge1[[#This Row],[제품코드]],공정중_우선순위[[제품코드]:[우선순위]],4,0)</f>
        <v>22</v>
      </c>
      <c r="M186" s="10" t="str">
        <f>_xlfn.TEXTJOIN(CHAR(10), TRUE, ,Merge1[[#This Row],[제품명]],Merge1[[#This Row],[오더번호]],Merge1[[#This Row],[제조번호]],Merge1[[#This Row],[지시수량]])</f>
        <v>아세리손정 반제품 (마더스제약)
1015386
5029
400000</v>
      </c>
    </row>
    <row r="187" spans="1:13" ht="54" x14ac:dyDescent="0.25">
      <c r="A187" t="s">
        <v>200</v>
      </c>
      <c r="B187" t="s">
        <v>488</v>
      </c>
      <c r="C187" t="s">
        <v>499</v>
      </c>
      <c r="D187" t="s">
        <v>108</v>
      </c>
      <c r="E187" t="s">
        <v>109</v>
      </c>
      <c r="F187" t="s">
        <v>500</v>
      </c>
      <c r="G187">
        <v>110</v>
      </c>
      <c r="H187" t="s">
        <v>6</v>
      </c>
      <c r="I187" t="s">
        <v>234</v>
      </c>
      <c r="J187">
        <v>400000</v>
      </c>
      <c r="K187">
        <v>6</v>
      </c>
      <c r="L187">
        <f>VLOOKUP(Merge1[[#This Row],[제품코드]],공정중_우선순위[[제품코드]:[우선순위]],4,0)</f>
        <v>22</v>
      </c>
      <c r="M187" s="10" t="str">
        <f>_xlfn.TEXTJOIN(CHAR(10), TRUE, ,Merge1[[#This Row],[제품명]],Merge1[[#This Row],[오더번호]],Merge1[[#This Row],[제조번호]],Merge1[[#This Row],[지시수량]])</f>
        <v>아세리손정 반제품 (마더스제약)
1015401
5030
400000</v>
      </c>
    </row>
    <row r="188" spans="1:13" ht="54" x14ac:dyDescent="0.25">
      <c r="A188" t="s">
        <v>200</v>
      </c>
      <c r="B188" t="s">
        <v>488</v>
      </c>
      <c r="C188" t="s">
        <v>502</v>
      </c>
      <c r="D188" t="s">
        <v>108</v>
      </c>
      <c r="E188" t="s">
        <v>109</v>
      </c>
      <c r="F188" t="s">
        <v>503</v>
      </c>
      <c r="G188">
        <v>110</v>
      </c>
      <c r="H188" t="s">
        <v>6</v>
      </c>
      <c r="I188" t="s">
        <v>234</v>
      </c>
      <c r="J188">
        <v>400000</v>
      </c>
      <c r="K188">
        <v>6</v>
      </c>
      <c r="L188">
        <f>VLOOKUP(Merge1[[#This Row],[제품코드]],공정중_우선순위[[제품코드]:[우선순위]],4,0)</f>
        <v>22</v>
      </c>
      <c r="M188" s="10" t="str">
        <f>_xlfn.TEXTJOIN(CHAR(10), TRUE, ,Merge1[[#This Row],[제품명]],Merge1[[#This Row],[오더번호]],Merge1[[#This Row],[제조번호]],Merge1[[#This Row],[지시수량]])</f>
        <v>아세리손정 반제품 (마더스제약)
1015402
5031
400000</v>
      </c>
    </row>
    <row r="189" spans="1:13" ht="54" x14ac:dyDescent="0.25">
      <c r="A189" t="s">
        <v>200</v>
      </c>
      <c r="B189" t="s">
        <v>488</v>
      </c>
      <c r="C189" t="s">
        <v>497</v>
      </c>
      <c r="D189" t="s">
        <v>108</v>
      </c>
      <c r="E189" t="s">
        <v>109</v>
      </c>
      <c r="F189" t="s">
        <v>498</v>
      </c>
      <c r="G189">
        <v>110</v>
      </c>
      <c r="H189" t="s">
        <v>6</v>
      </c>
      <c r="I189" t="s">
        <v>234</v>
      </c>
      <c r="J189">
        <v>400000</v>
      </c>
      <c r="K189">
        <v>6</v>
      </c>
      <c r="L189">
        <f>VLOOKUP(Merge1[[#This Row],[제품코드]],공정중_우선순위[[제품코드]:[우선순위]],4,0)</f>
        <v>22</v>
      </c>
      <c r="M189" s="10" t="str">
        <f>_xlfn.TEXTJOIN(CHAR(10), TRUE, ,Merge1[[#This Row],[제품명]],Merge1[[#This Row],[오더번호]],Merge1[[#This Row],[제조번호]],Merge1[[#This Row],[지시수량]])</f>
        <v>아세리손정 반제품 (마더스제약)
1015697
5032
400000</v>
      </c>
    </row>
    <row r="190" spans="1:13" ht="54" x14ac:dyDescent="0.25">
      <c r="A190" t="s">
        <v>200</v>
      </c>
      <c r="B190" t="s">
        <v>488</v>
      </c>
      <c r="C190" t="s">
        <v>489</v>
      </c>
      <c r="D190" t="s">
        <v>102</v>
      </c>
      <c r="E190" t="s">
        <v>103</v>
      </c>
      <c r="F190" t="s">
        <v>490</v>
      </c>
      <c r="G190">
        <v>30</v>
      </c>
      <c r="H190" t="s">
        <v>104</v>
      </c>
      <c r="I190" t="s">
        <v>491</v>
      </c>
      <c r="J190">
        <v>400000</v>
      </c>
      <c r="K190">
        <v>5</v>
      </c>
      <c r="L190">
        <f>VLOOKUP(Merge1[[#This Row],[제품코드]],공정중_우선순위[[제품코드]:[우선순위]],4,0)</f>
        <v>23</v>
      </c>
      <c r="M190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191" spans="1:13" ht="54" x14ac:dyDescent="0.25">
      <c r="A191" t="s">
        <v>200</v>
      </c>
      <c r="B191" t="s">
        <v>488</v>
      </c>
      <c r="C191" t="s">
        <v>492</v>
      </c>
      <c r="D191" t="s">
        <v>102</v>
      </c>
      <c r="E191" t="s">
        <v>103</v>
      </c>
      <c r="F191" t="s">
        <v>493</v>
      </c>
      <c r="G191">
        <v>30</v>
      </c>
      <c r="H191" t="s">
        <v>104</v>
      </c>
      <c r="I191" t="s">
        <v>491</v>
      </c>
      <c r="J191">
        <v>400000</v>
      </c>
      <c r="K191">
        <v>5</v>
      </c>
      <c r="L191">
        <f>VLOOKUP(Merge1[[#This Row],[제품코드]],공정중_우선순위[[제품코드]:[우선순위]],4,0)</f>
        <v>23</v>
      </c>
      <c r="M191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192" spans="1:13" ht="54" x14ac:dyDescent="0.25">
      <c r="A192" t="s">
        <v>200</v>
      </c>
      <c r="B192" t="s">
        <v>488</v>
      </c>
      <c r="C192" t="s">
        <v>494</v>
      </c>
      <c r="D192" t="s">
        <v>102</v>
      </c>
      <c r="E192" t="s">
        <v>103</v>
      </c>
      <c r="F192" t="s">
        <v>495</v>
      </c>
      <c r="G192">
        <v>30</v>
      </c>
      <c r="H192" t="s">
        <v>104</v>
      </c>
      <c r="I192" t="s">
        <v>491</v>
      </c>
      <c r="J192">
        <v>400000</v>
      </c>
      <c r="K192">
        <v>5</v>
      </c>
      <c r="L192">
        <f>VLOOKUP(Merge1[[#This Row],[제품코드]],공정중_우선순위[[제품코드]:[우선순위]],4,0)</f>
        <v>23</v>
      </c>
      <c r="M192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193" spans="1:13" ht="54" x14ac:dyDescent="0.25">
      <c r="A193" t="s">
        <v>200</v>
      </c>
      <c r="B193" t="s">
        <v>488</v>
      </c>
      <c r="C193" t="s">
        <v>489</v>
      </c>
      <c r="D193" t="s">
        <v>102</v>
      </c>
      <c r="E193" t="s">
        <v>103</v>
      </c>
      <c r="F193" t="s">
        <v>490</v>
      </c>
      <c r="G193">
        <v>30</v>
      </c>
      <c r="H193" t="s">
        <v>104</v>
      </c>
      <c r="I193" t="s">
        <v>491</v>
      </c>
      <c r="J193">
        <v>400000</v>
      </c>
      <c r="K193">
        <v>5</v>
      </c>
      <c r="L193">
        <f>VLOOKUP(Merge1[[#This Row],[제품코드]],공정중_우선순위[[제품코드]:[우선순위]],4,0)</f>
        <v>23</v>
      </c>
      <c r="M193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194" spans="1:13" ht="54" x14ac:dyDescent="0.25">
      <c r="A194" t="s">
        <v>200</v>
      </c>
      <c r="B194" t="s">
        <v>488</v>
      </c>
      <c r="C194" t="s">
        <v>492</v>
      </c>
      <c r="D194" t="s">
        <v>102</v>
      </c>
      <c r="E194" t="s">
        <v>103</v>
      </c>
      <c r="F194" t="s">
        <v>493</v>
      </c>
      <c r="G194">
        <v>30</v>
      </c>
      <c r="H194" t="s">
        <v>104</v>
      </c>
      <c r="I194" t="s">
        <v>491</v>
      </c>
      <c r="J194">
        <v>400000</v>
      </c>
      <c r="K194">
        <v>5</v>
      </c>
      <c r="L194">
        <f>VLOOKUP(Merge1[[#This Row],[제품코드]],공정중_우선순위[[제품코드]:[우선순위]],4,0)</f>
        <v>23</v>
      </c>
      <c r="M194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195" spans="1:13" ht="54" x14ac:dyDescent="0.25">
      <c r="A195" t="s">
        <v>200</v>
      </c>
      <c r="B195" t="s">
        <v>488</v>
      </c>
      <c r="C195" t="s">
        <v>494</v>
      </c>
      <c r="D195" t="s">
        <v>102</v>
      </c>
      <c r="E195" t="s">
        <v>103</v>
      </c>
      <c r="F195" t="s">
        <v>495</v>
      </c>
      <c r="G195">
        <v>30</v>
      </c>
      <c r="H195" t="s">
        <v>104</v>
      </c>
      <c r="I195" t="s">
        <v>491</v>
      </c>
      <c r="J195">
        <v>400000</v>
      </c>
      <c r="K195">
        <v>5</v>
      </c>
      <c r="L195">
        <f>VLOOKUP(Merge1[[#This Row],[제품코드]],공정중_우선순위[[제품코드]:[우선순위]],4,0)</f>
        <v>23</v>
      </c>
      <c r="M195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196" spans="1:13" ht="54" x14ac:dyDescent="0.25">
      <c r="A196" t="s">
        <v>200</v>
      </c>
      <c r="B196" t="s">
        <v>488</v>
      </c>
      <c r="C196" t="s">
        <v>489</v>
      </c>
      <c r="D196" t="s">
        <v>102</v>
      </c>
      <c r="E196" t="s">
        <v>103</v>
      </c>
      <c r="F196" t="s">
        <v>490</v>
      </c>
      <c r="G196">
        <v>30</v>
      </c>
      <c r="H196" t="s">
        <v>104</v>
      </c>
      <c r="I196" t="s">
        <v>491</v>
      </c>
      <c r="J196">
        <v>400000</v>
      </c>
      <c r="K196">
        <v>5</v>
      </c>
      <c r="L196">
        <f>VLOOKUP(Merge1[[#This Row],[제품코드]],공정중_우선순위[[제품코드]:[우선순위]],4,0)</f>
        <v>23</v>
      </c>
      <c r="M196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197" spans="1:13" ht="54" x14ac:dyDescent="0.25">
      <c r="A197" t="s">
        <v>200</v>
      </c>
      <c r="B197" t="s">
        <v>488</v>
      </c>
      <c r="C197" t="s">
        <v>492</v>
      </c>
      <c r="D197" t="s">
        <v>102</v>
      </c>
      <c r="E197" t="s">
        <v>103</v>
      </c>
      <c r="F197" t="s">
        <v>493</v>
      </c>
      <c r="G197">
        <v>30</v>
      </c>
      <c r="H197" t="s">
        <v>104</v>
      </c>
      <c r="I197" t="s">
        <v>491</v>
      </c>
      <c r="J197">
        <v>400000</v>
      </c>
      <c r="K197">
        <v>5</v>
      </c>
      <c r="L197">
        <f>VLOOKUP(Merge1[[#This Row],[제품코드]],공정중_우선순위[[제품코드]:[우선순위]],4,0)</f>
        <v>23</v>
      </c>
      <c r="M197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198" spans="1:13" ht="54" x14ac:dyDescent="0.25">
      <c r="A198" t="s">
        <v>200</v>
      </c>
      <c r="B198" t="s">
        <v>488</v>
      </c>
      <c r="C198" t="s">
        <v>494</v>
      </c>
      <c r="D198" t="s">
        <v>102</v>
      </c>
      <c r="E198" t="s">
        <v>103</v>
      </c>
      <c r="F198" t="s">
        <v>495</v>
      </c>
      <c r="G198">
        <v>30</v>
      </c>
      <c r="H198" t="s">
        <v>104</v>
      </c>
      <c r="I198" t="s">
        <v>491</v>
      </c>
      <c r="J198">
        <v>400000</v>
      </c>
      <c r="K198">
        <v>5</v>
      </c>
      <c r="L198">
        <f>VLOOKUP(Merge1[[#This Row],[제품코드]],공정중_우선순위[[제품코드]:[우선순위]],4,0)</f>
        <v>23</v>
      </c>
      <c r="M198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199" spans="1:13" ht="54" x14ac:dyDescent="0.25">
      <c r="A199" t="s">
        <v>200</v>
      </c>
      <c r="B199" t="s">
        <v>488</v>
      </c>
      <c r="C199" t="s">
        <v>489</v>
      </c>
      <c r="D199" t="s">
        <v>102</v>
      </c>
      <c r="E199" t="s">
        <v>103</v>
      </c>
      <c r="F199" t="s">
        <v>490</v>
      </c>
      <c r="G199">
        <v>40</v>
      </c>
      <c r="H199" t="s">
        <v>105</v>
      </c>
      <c r="I199" t="s">
        <v>496</v>
      </c>
      <c r="J199">
        <v>400000</v>
      </c>
      <c r="K199">
        <v>7</v>
      </c>
      <c r="L199">
        <f>VLOOKUP(Merge1[[#This Row],[제품코드]],공정중_우선순위[[제품코드]:[우선순위]],4,0)</f>
        <v>23</v>
      </c>
      <c r="M199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00" spans="1:13" ht="54" x14ac:dyDescent="0.25">
      <c r="A200" t="s">
        <v>200</v>
      </c>
      <c r="B200" t="s">
        <v>488</v>
      </c>
      <c r="C200" t="s">
        <v>492</v>
      </c>
      <c r="D200" t="s">
        <v>102</v>
      </c>
      <c r="E200" t="s">
        <v>103</v>
      </c>
      <c r="F200" t="s">
        <v>493</v>
      </c>
      <c r="G200">
        <v>40</v>
      </c>
      <c r="H200" t="s">
        <v>105</v>
      </c>
      <c r="I200" t="s">
        <v>496</v>
      </c>
      <c r="J200">
        <v>400000</v>
      </c>
      <c r="K200">
        <v>7</v>
      </c>
      <c r="L200">
        <f>VLOOKUP(Merge1[[#This Row],[제품코드]],공정중_우선순위[[제품코드]:[우선순위]],4,0)</f>
        <v>23</v>
      </c>
      <c r="M200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01" spans="1:13" ht="54" x14ac:dyDescent="0.25">
      <c r="A201" t="s">
        <v>200</v>
      </c>
      <c r="B201" t="s">
        <v>488</v>
      </c>
      <c r="C201" t="s">
        <v>494</v>
      </c>
      <c r="D201" t="s">
        <v>102</v>
      </c>
      <c r="E201" t="s">
        <v>103</v>
      </c>
      <c r="F201" t="s">
        <v>495</v>
      </c>
      <c r="G201">
        <v>40</v>
      </c>
      <c r="H201" t="s">
        <v>105</v>
      </c>
      <c r="I201" t="s">
        <v>496</v>
      </c>
      <c r="J201">
        <v>400000</v>
      </c>
      <c r="K201">
        <v>7</v>
      </c>
      <c r="L201">
        <f>VLOOKUP(Merge1[[#This Row],[제품코드]],공정중_우선순위[[제품코드]:[우선순위]],4,0)</f>
        <v>23</v>
      </c>
      <c r="M201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02" spans="1:13" ht="54" x14ac:dyDescent="0.25">
      <c r="A202" t="s">
        <v>200</v>
      </c>
      <c r="B202" t="s">
        <v>488</v>
      </c>
      <c r="C202" t="s">
        <v>489</v>
      </c>
      <c r="D202" t="s">
        <v>102</v>
      </c>
      <c r="E202" t="s">
        <v>103</v>
      </c>
      <c r="F202" t="s">
        <v>490</v>
      </c>
      <c r="G202">
        <v>40</v>
      </c>
      <c r="H202" t="s">
        <v>105</v>
      </c>
      <c r="I202" t="s">
        <v>496</v>
      </c>
      <c r="J202">
        <v>400000</v>
      </c>
      <c r="K202">
        <v>7</v>
      </c>
      <c r="L202">
        <f>VLOOKUP(Merge1[[#This Row],[제품코드]],공정중_우선순위[[제품코드]:[우선순위]],4,0)</f>
        <v>23</v>
      </c>
      <c r="M202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03" spans="1:13" ht="54" x14ac:dyDescent="0.25">
      <c r="A203" t="s">
        <v>200</v>
      </c>
      <c r="B203" t="s">
        <v>488</v>
      </c>
      <c r="C203" t="s">
        <v>492</v>
      </c>
      <c r="D203" t="s">
        <v>102</v>
      </c>
      <c r="E203" t="s">
        <v>103</v>
      </c>
      <c r="F203" t="s">
        <v>493</v>
      </c>
      <c r="G203">
        <v>40</v>
      </c>
      <c r="H203" t="s">
        <v>105</v>
      </c>
      <c r="I203" t="s">
        <v>496</v>
      </c>
      <c r="J203">
        <v>400000</v>
      </c>
      <c r="K203">
        <v>7</v>
      </c>
      <c r="L203">
        <f>VLOOKUP(Merge1[[#This Row],[제품코드]],공정중_우선순위[[제품코드]:[우선순위]],4,0)</f>
        <v>23</v>
      </c>
      <c r="M203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04" spans="1:13" ht="54" x14ac:dyDescent="0.25">
      <c r="A204" t="s">
        <v>200</v>
      </c>
      <c r="B204" t="s">
        <v>488</v>
      </c>
      <c r="C204" t="s">
        <v>494</v>
      </c>
      <c r="D204" t="s">
        <v>102</v>
      </c>
      <c r="E204" t="s">
        <v>103</v>
      </c>
      <c r="F204" t="s">
        <v>495</v>
      </c>
      <c r="G204">
        <v>40</v>
      </c>
      <c r="H204" t="s">
        <v>105</v>
      </c>
      <c r="I204" t="s">
        <v>496</v>
      </c>
      <c r="J204">
        <v>400000</v>
      </c>
      <c r="K204">
        <v>7</v>
      </c>
      <c r="L204">
        <f>VLOOKUP(Merge1[[#This Row],[제품코드]],공정중_우선순위[[제품코드]:[우선순위]],4,0)</f>
        <v>23</v>
      </c>
      <c r="M204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05" spans="1:13" ht="54" x14ac:dyDescent="0.25">
      <c r="A205" t="s">
        <v>200</v>
      </c>
      <c r="B205" t="s">
        <v>488</v>
      </c>
      <c r="C205" t="s">
        <v>489</v>
      </c>
      <c r="D205" t="s">
        <v>102</v>
      </c>
      <c r="E205" t="s">
        <v>103</v>
      </c>
      <c r="F205" t="s">
        <v>490</v>
      </c>
      <c r="G205">
        <v>40</v>
      </c>
      <c r="H205" t="s">
        <v>105</v>
      </c>
      <c r="I205" t="s">
        <v>496</v>
      </c>
      <c r="J205">
        <v>400000</v>
      </c>
      <c r="K205">
        <v>7</v>
      </c>
      <c r="L205">
        <f>VLOOKUP(Merge1[[#This Row],[제품코드]],공정중_우선순위[[제품코드]:[우선순위]],4,0)</f>
        <v>23</v>
      </c>
      <c r="M205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06" spans="1:13" ht="54" x14ac:dyDescent="0.25">
      <c r="A206" t="s">
        <v>200</v>
      </c>
      <c r="B206" t="s">
        <v>488</v>
      </c>
      <c r="C206" t="s">
        <v>492</v>
      </c>
      <c r="D206" t="s">
        <v>102</v>
      </c>
      <c r="E206" t="s">
        <v>103</v>
      </c>
      <c r="F206" t="s">
        <v>493</v>
      </c>
      <c r="G206">
        <v>40</v>
      </c>
      <c r="H206" t="s">
        <v>105</v>
      </c>
      <c r="I206" t="s">
        <v>496</v>
      </c>
      <c r="J206">
        <v>400000</v>
      </c>
      <c r="K206">
        <v>7</v>
      </c>
      <c r="L206">
        <f>VLOOKUP(Merge1[[#This Row],[제품코드]],공정중_우선순위[[제품코드]:[우선순위]],4,0)</f>
        <v>23</v>
      </c>
      <c r="M206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07" spans="1:13" ht="54" x14ac:dyDescent="0.25">
      <c r="A207" t="s">
        <v>200</v>
      </c>
      <c r="B207" t="s">
        <v>488</v>
      </c>
      <c r="C207" t="s">
        <v>494</v>
      </c>
      <c r="D207" t="s">
        <v>102</v>
      </c>
      <c r="E207" t="s">
        <v>103</v>
      </c>
      <c r="F207" t="s">
        <v>495</v>
      </c>
      <c r="G207">
        <v>40</v>
      </c>
      <c r="H207" t="s">
        <v>105</v>
      </c>
      <c r="I207" t="s">
        <v>496</v>
      </c>
      <c r="J207">
        <v>400000</v>
      </c>
      <c r="K207">
        <v>7</v>
      </c>
      <c r="L207">
        <f>VLOOKUP(Merge1[[#This Row],[제품코드]],공정중_우선순위[[제품코드]:[우선순위]],4,0)</f>
        <v>23</v>
      </c>
      <c r="M207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08" spans="1:13" ht="54" x14ac:dyDescent="0.25">
      <c r="A208" t="s">
        <v>200</v>
      </c>
      <c r="B208" t="s">
        <v>488</v>
      </c>
      <c r="C208" t="s">
        <v>489</v>
      </c>
      <c r="D208" t="s">
        <v>102</v>
      </c>
      <c r="E208" t="s">
        <v>103</v>
      </c>
      <c r="F208" t="s">
        <v>490</v>
      </c>
      <c r="G208">
        <v>50</v>
      </c>
      <c r="H208" t="s">
        <v>106</v>
      </c>
      <c r="I208" t="s">
        <v>382</v>
      </c>
      <c r="J208">
        <v>400000</v>
      </c>
      <c r="K208">
        <v>3</v>
      </c>
      <c r="L208">
        <f>VLOOKUP(Merge1[[#This Row],[제품코드]],공정중_우선순위[[제품코드]:[우선순위]],4,0)</f>
        <v>23</v>
      </c>
      <c r="M208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09" spans="1:13" ht="54" x14ac:dyDescent="0.25">
      <c r="A209" t="s">
        <v>200</v>
      </c>
      <c r="B209" t="s">
        <v>488</v>
      </c>
      <c r="C209" t="s">
        <v>492</v>
      </c>
      <c r="D209" t="s">
        <v>102</v>
      </c>
      <c r="E209" t="s">
        <v>103</v>
      </c>
      <c r="F209" t="s">
        <v>493</v>
      </c>
      <c r="G209">
        <v>50</v>
      </c>
      <c r="H209" t="s">
        <v>106</v>
      </c>
      <c r="I209" t="s">
        <v>382</v>
      </c>
      <c r="J209">
        <v>400000</v>
      </c>
      <c r="K209">
        <v>3</v>
      </c>
      <c r="L209">
        <f>VLOOKUP(Merge1[[#This Row],[제품코드]],공정중_우선순위[[제품코드]:[우선순위]],4,0)</f>
        <v>23</v>
      </c>
      <c r="M209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10" spans="1:13" ht="54" x14ac:dyDescent="0.25">
      <c r="A210" t="s">
        <v>200</v>
      </c>
      <c r="B210" t="s">
        <v>488</v>
      </c>
      <c r="C210" t="s">
        <v>494</v>
      </c>
      <c r="D210" t="s">
        <v>102</v>
      </c>
      <c r="E210" t="s">
        <v>103</v>
      </c>
      <c r="F210" t="s">
        <v>495</v>
      </c>
      <c r="G210">
        <v>50</v>
      </c>
      <c r="H210" t="s">
        <v>106</v>
      </c>
      <c r="I210" t="s">
        <v>382</v>
      </c>
      <c r="J210">
        <v>400000</v>
      </c>
      <c r="K210">
        <v>3</v>
      </c>
      <c r="L210">
        <f>VLOOKUP(Merge1[[#This Row],[제품코드]],공정중_우선순위[[제품코드]:[우선순위]],4,0)</f>
        <v>23</v>
      </c>
      <c r="M210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11" spans="1:13" ht="54" x14ac:dyDescent="0.25">
      <c r="A211" t="s">
        <v>200</v>
      </c>
      <c r="B211" t="s">
        <v>488</v>
      </c>
      <c r="C211" t="s">
        <v>489</v>
      </c>
      <c r="D211" t="s">
        <v>102</v>
      </c>
      <c r="E211" t="s">
        <v>103</v>
      </c>
      <c r="F211" t="s">
        <v>490</v>
      </c>
      <c r="G211">
        <v>50</v>
      </c>
      <c r="H211" t="s">
        <v>106</v>
      </c>
      <c r="I211" t="s">
        <v>382</v>
      </c>
      <c r="J211">
        <v>400000</v>
      </c>
      <c r="K211">
        <v>3</v>
      </c>
      <c r="L211">
        <f>VLOOKUP(Merge1[[#This Row],[제품코드]],공정중_우선순위[[제품코드]:[우선순위]],4,0)</f>
        <v>23</v>
      </c>
      <c r="M211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12" spans="1:13" ht="54" x14ac:dyDescent="0.25">
      <c r="A212" t="s">
        <v>200</v>
      </c>
      <c r="B212" t="s">
        <v>488</v>
      </c>
      <c r="C212" t="s">
        <v>492</v>
      </c>
      <c r="D212" t="s">
        <v>102</v>
      </c>
      <c r="E212" t="s">
        <v>103</v>
      </c>
      <c r="F212" t="s">
        <v>493</v>
      </c>
      <c r="G212">
        <v>50</v>
      </c>
      <c r="H212" t="s">
        <v>106</v>
      </c>
      <c r="I212" t="s">
        <v>382</v>
      </c>
      <c r="J212">
        <v>400000</v>
      </c>
      <c r="K212">
        <v>3</v>
      </c>
      <c r="L212">
        <f>VLOOKUP(Merge1[[#This Row],[제품코드]],공정중_우선순위[[제품코드]:[우선순위]],4,0)</f>
        <v>23</v>
      </c>
      <c r="M212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13" spans="1:13" ht="54" x14ac:dyDescent="0.25">
      <c r="A213" t="s">
        <v>200</v>
      </c>
      <c r="B213" t="s">
        <v>488</v>
      </c>
      <c r="C213" t="s">
        <v>494</v>
      </c>
      <c r="D213" t="s">
        <v>102</v>
      </c>
      <c r="E213" t="s">
        <v>103</v>
      </c>
      <c r="F213" t="s">
        <v>495</v>
      </c>
      <c r="G213">
        <v>50</v>
      </c>
      <c r="H213" t="s">
        <v>106</v>
      </c>
      <c r="I213" t="s">
        <v>382</v>
      </c>
      <c r="J213">
        <v>400000</v>
      </c>
      <c r="K213">
        <v>3</v>
      </c>
      <c r="L213">
        <f>VLOOKUP(Merge1[[#This Row],[제품코드]],공정중_우선순위[[제품코드]:[우선순위]],4,0)</f>
        <v>23</v>
      </c>
      <c r="M213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14" spans="1:13" ht="54" x14ac:dyDescent="0.25">
      <c r="A214" t="s">
        <v>200</v>
      </c>
      <c r="B214" t="s">
        <v>488</v>
      </c>
      <c r="C214" t="s">
        <v>489</v>
      </c>
      <c r="D214" t="s">
        <v>102</v>
      </c>
      <c r="E214" t="s">
        <v>103</v>
      </c>
      <c r="F214" t="s">
        <v>490</v>
      </c>
      <c r="G214">
        <v>50</v>
      </c>
      <c r="H214" t="s">
        <v>106</v>
      </c>
      <c r="I214" t="s">
        <v>382</v>
      </c>
      <c r="J214">
        <v>400000</v>
      </c>
      <c r="K214">
        <v>3</v>
      </c>
      <c r="L214">
        <f>VLOOKUP(Merge1[[#This Row],[제품코드]],공정중_우선순위[[제품코드]:[우선순위]],4,0)</f>
        <v>23</v>
      </c>
      <c r="M214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15" spans="1:13" ht="54" x14ac:dyDescent="0.25">
      <c r="A215" t="s">
        <v>200</v>
      </c>
      <c r="B215" t="s">
        <v>488</v>
      </c>
      <c r="C215" t="s">
        <v>492</v>
      </c>
      <c r="D215" t="s">
        <v>102</v>
      </c>
      <c r="E215" t="s">
        <v>103</v>
      </c>
      <c r="F215" t="s">
        <v>493</v>
      </c>
      <c r="G215">
        <v>50</v>
      </c>
      <c r="H215" t="s">
        <v>106</v>
      </c>
      <c r="I215" t="s">
        <v>382</v>
      </c>
      <c r="J215">
        <v>400000</v>
      </c>
      <c r="K215">
        <v>3</v>
      </c>
      <c r="L215">
        <f>VLOOKUP(Merge1[[#This Row],[제품코드]],공정중_우선순위[[제품코드]:[우선순위]],4,0)</f>
        <v>23</v>
      </c>
      <c r="M215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16" spans="1:13" ht="54" x14ac:dyDescent="0.25">
      <c r="A216" t="s">
        <v>200</v>
      </c>
      <c r="B216" t="s">
        <v>488</v>
      </c>
      <c r="C216" t="s">
        <v>494</v>
      </c>
      <c r="D216" t="s">
        <v>102</v>
      </c>
      <c r="E216" t="s">
        <v>103</v>
      </c>
      <c r="F216" t="s">
        <v>495</v>
      </c>
      <c r="G216">
        <v>50</v>
      </c>
      <c r="H216" t="s">
        <v>106</v>
      </c>
      <c r="I216" t="s">
        <v>382</v>
      </c>
      <c r="J216">
        <v>400000</v>
      </c>
      <c r="K216">
        <v>3</v>
      </c>
      <c r="L216">
        <f>VLOOKUP(Merge1[[#This Row],[제품코드]],공정중_우선순위[[제품코드]:[우선순위]],4,0)</f>
        <v>23</v>
      </c>
      <c r="M216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17" spans="1:13" ht="54" x14ac:dyDescent="0.25">
      <c r="A217" t="s">
        <v>200</v>
      </c>
      <c r="B217" t="s">
        <v>488</v>
      </c>
      <c r="C217" t="s">
        <v>489</v>
      </c>
      <c r="D217" t="s">
        <v>102</v>
      </c>
      <c r="E217" t="s">
        <v>103</v>
      </c>
      <c r="F217" t="s">
        <v>490</v>
      </c>
      <c r="G217">
        <v>51</v>
      </c>
      <c r="H217" t="s">
        <v>107</v>
      </c>
      <c r="I217" t="s">
        <v>222</v>
      </c>
      <c r="J217">
        <v>400000</v>
      </c>
      <c r="K217">
        <v>3</v>
      </c>
      <c r="L217">
        <f>VLOOKUP(Merge1[[#This Row],[제품코드]],공정중_우선순위[[제품코드]:[우선순위]],4,0)</f>
        <v>23</v>
      </c>
      <c r="M217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18" spans="1:13" ht="54" x14ac:dyDescent="0.25">
      <c r="A218" t="s">
        <v>200</v>
      </c>
      <c r="B218" t="s">
        <v>488</v>
      </c>
      <c r="C218" t="s">
        <v>492</v>
      </c>
      <c r="D218" t="s">
        <v>102</v>
      </c>
      <c r="E218" t="s">
        <v>103</v>
      </c>
      <c r="F218" t="s">
        <v>493</v>
      </c>
      <c r="G218">
        <v>51</v>
      </c>
      <c r="H218" t="s">
        <v>107</v>
      </c>
      <c r="I218" t="s">
        <v>222</v>
      </c>
      <c r="J218">
        <v>400000</v>
      </c>
      <c r="K218">
        <v>3</v>
      </c>
      <c r="L218">
        <f>VLOOKUP(Merge1[[#This Row],[제품코드]],공정중_우선순위[[제품코드]:[우선순위]],4,0)</f>
        <v>23</v>
      </c>
      <c r="M218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19" spans="1:13" ht="54" x14ac:dyDescent="0.25">
      <c r="A219" t="s">
        <v>200</v>
      </c>
      <c r="B219" t="s">
        <v>488</v>
      </c>
      <c r="C219" t="s">
        <v>494</v>
      </c>
      <c r="D219" t="s">
        <v>102</v>
      </c>
      <c r="E219" t="s">
        <v>103</v>
      </c>
      <c r="F219" t="s">
        <v>495</v>
      </c>
      <c r="G219">
        <v>51</v>
      </c>
      <c r="H219" t="s">
        <v>107</v>
      </c>
      <c r="I219" t="s">
        <v>222</v>
      </c>
      <c r="J219">
        <v>400000</v>
      </c>
      <c r="K219">
        <v>3</v>
      </c>
      <c r="L219">
        <f>VLOOKUP(Merge1[[#This Row],[제품코드]],공정중_우선순위[[제품코드]:[우선순위]],4,0)</f>
        <v>23</v>
      </c>
      <c r="M219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20" spans="1:13" ht="54" x14ac:dyDescent="0.25">
      <c r="A220" t="s">
        <v>200</v>
      </c>
      <c r="B220" t="s">
        <v>488</v>
      </c>
      <c r="C220" t="s">
        <v>489</v>
      </c>
      <c r="D220" t="s">
        <v>102</v>
      </c>
      <c r="E220" t="s">
        <v>103</v>
      </c>
      <c r="F220" t="s">
        <v>490</v>
      </c>
      <c r="G220">
        <v>51</v>
      </c>
      <c r="H220" t="s">
        <v>107</v>
      </c>
      <c r="I220" t="s">
        <v>222</v>
      </c>
      <c r="J220">
        <v>400000</v>
      </c>
      <c r="K220">
        <v>3</v>
      </c>
      <c r="L220">
        <f>VLOOKUP(Merge1[[#This Row],[제품코드]],공정중_우선순위[[제품코드]:[우선순위]],4,0)</f>
        <v>23</v>
      </c>
      <c r="M220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21" spans="1:13" ht="54" x14ac:dyDescent="0.25">
      <c r="A221" t="s">
        <v>200</v>
      </c>
      <c r="B221" t="s">
        <v>488</v>
      </c>
      <c r="C221" t="s">
        <v>492</v>
      </c>
      <c r="D221" t="s">
        <v>102</v>
      </c>
      <c r="E221" t="s">
        <v>103</v>
      </c>
      <c r="F221" t="s">
        <v>493</v>
      </c>
      <c r="G221">
        <v>51</v>
      </c>
      <c r="H221" t="s">
        <v>107</v>
      </c>
      <c r="I221" t="s">
        <v>222</v>
      </c>
      <c r="J221">
        <v>400000</v>
      </c>
      <c r="K221">
        <v>3</v>
      </c>
      <c r="L221">
        <f>VLOOKUP(Merge1[[#This Row],[제품코드]],공정중_우선순위[[제품코드]:[우선순위]],4,0)</f>
        <v>23</v>
      </c>
      <c r="M221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22" spans="1:13" ht="54" x14ac:dyDescent="0.25">
      <c r="A222" t="s">
        <v>200</v>
      </c>
      <c r="B222" t="s">
        <v>488</v>
      </c>
      <c r="C222" t="s">
        <v>494</v>
      </c>
      <c r="D222" t="s">
        <v>102</v>
      </c>
      <c r="E222" t="s">
        <v>103</v>
      </c>
      <c r="F222" t="s">
        <v>495</v>
      </c>
      <c r="G222">
        <v>51</v>
      </c>
      <c r="H222" t="s">
        <v>107</v>
      </c>
      <c r="I222" t="s">
        <v>222</v>
      </c>
      <c r="J222">
        <v>400000</v>
      </c>
      <c r="K222">
        <v>3</v>
      </c>
      <c r="L222">
        <f>VLOOKUP(Merge1[[#This Row],[제품코드]],공정중_우선순위[[제품코드]:[우선순위]],4,0)</f>
        <v>23</v>
      </c>
      <c r="M222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23" spans="1:13" ht="54" x14ac:dyDescent="0.25">
      <c r="A223" t="s">
        <v>200</v>
      </c>
      <c r="B223" t="s">
        <v>488</v>
      </c>
      <c r="C223" t="s">
        <v>489</v>
      </c>
      <c r="D223" t="s">
        <v>102</v>
      </c>
      <c r="E223" t="s">
        <v>103</v>
      </c>
      <c r="F223" t="s">
        <v>490</v>
      </c>
      <c r="G223">
        <v>51</v>
      </c>
      <c r="H223" t="s">
        <v>107</v>
      </c>
      <c r="I223" t="s">
        <v>222</v>
      </c>
      <c r="J223">
        <v>400000</v>
      </c>
      <c r="K223">
        <v>3</v>
      </c>
      <c r="L223">
        <f>VLOOKUP(Merge1[[#This Row],[제품코드]],공정중_우선순위[[제품코드]:[우선순위]],4,0)</f>
        <v>23</v>
      </c>
      <c r="M223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24" spans="1:13" ht="54" x14ac:dyDescent="0.25">
      <c r="A224" t="s">
        <v>200</v>
      </c>
      <c r="B224" t="s">
        <v>488</v>
      </c>
      <c r="C224" t="s">
        <v>492</v>
      </c>
      <c r="D224" t="s">
        <v>102</v>
      </c>
      <c r="E224" t="s">
        <v>103</v>
      </c>
      <c r="F224" t="s">
        <v>493</v>
      </c>
      <c r="G224">
        <v>51</v>
      </c>
      <c r="H224" t="s">
        <v>107</v>
      </c>
      <c r="I224" t="s">
        <v>222</v>
      </c>
      <c r="J224">
        <v>400000</v>
      </c>
      <c r="K224">
        <v>3</v>
      </c>
      <c r="L224">
        <f>VLOOKUP(Merge1[[#This Row],[제품코드]],공정중_우선순위[[제품코드]:[우선순위]],4,0)</f>
        <v>23</v>
      </c>
      <c r="M224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25" spans="1:13" ht="54" x14ac:dyDescent="0.25">
      <c r="A225" t="s">
        <v>200</v>
      </c>
      <c r="B225" t="s">
        <v>488</v>
      </c>
      <c r="C225" t="s">
        <v>494</v>
      </c>
      <c r="D225" t="s">
        <v>102</v>
      </c>
      <c r="E225" t="s">
        <v>103</v>
      </c>
      <c r="F225" t="s">
        <v>495</v>
      </c>
      <c r="G225">
        <v>51</v>
      </c>
      <c r="H225" t="s">
        <v>107</v>
      </c>
      <c r="I225" t="s">
        <v>222</v>
      </c>
      <c r="J225">
        <v>400000</v>
      </c>
      <c r="K225">
        <v>3</v>
      </c>
      <c r="L225">
        <f>VLOOKUP(Merge1[[#This Row],[제품코드]],공정중_우선순위[[제품코드]:[우선순위]],4,0)</f>
        <v>23</v>
      </c>
      <c r="M225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26" spans="1:13" ht="54" x14ac:dyDescent="0.25">
      <c r="A226" t="s">
        <v>200</v>
      </c>
      <c r="B226" t="s">
        <v>488</v>
      </c>
      <c r="C226" t="s">
        <v>489</v>
      </c>
      <c r="D226" t="s">
        <v>102</v>
      </c>
      <c r="E226" t="s">
        <v>103</v>
      </c>
      <c r="F226" t="s">
        <v>490</v>
      </c>
      <c r="G226">
        <v>60</v>
      </c>
      <c r="H226" t="s">
        <v>5</v>
      </c>
      <c r="I226" t="s">
        <v>225</v>
      </c>
      <c r="J226">
        <v>400000</v>
      </c>
      <c r="K226">
        <v>23</v>
      </c>
      <c r="L226">
        <f>VLOOKUP(Merge1[[#This Row],[제품코드]],공정중_우선순위[[제품코드]:[우선순위]],4,0)</f>
        <v>23</v>
      </c>
      <c r="M226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27" spans="1:13" ht="54" x14ac:dyDescent="0.25">
      <c r="A227" t="s">
        <v>200</v>
      </c>
      <c r="B227" t="s">
        <v>488</v>
      </c>
      <c r="C227" t="s">
        <v>492</v>
      </c>
      <c r="D227" t="s">
        <v>102</v>
      </c>
      <c r="E227" t="s">
        <v>103</v>
      </c>
      <c r="F227" t="s">
        <v>493</v>
      </c>
      <c r="G227">
        <v>60</v>
      </c>
      <c r="H227" t="s">
        <v>5</v>
      </c>
      <c r="I227" t="s">
        <v>225</v>
      </c>
      <c r="J227">
        <v>400000</v>
      </c>
      <c r="K227">
        <v>23</v>
      </c>
      <c r="L227">
        <f>VLOOKUP(Merge1[[#This Row],[제품코드]],공정중_우선순위[[제품코드]:[우선순위]],4,0)</f>
        <v>23</v>
      </c>
      <c r="M227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28" spans="1:13" ht="54" x14ac:dyDescent="0.25">
      <c r="A228" t="s">
        <v>200</v>
      </c>
      <c r="B228" t="s">
        <v>488</v>
      </c>
      <c r="C228" t="s">
        <v>494</v>
      </c>
      <c r="D228" t="s">
        <v>102</v>
      </c>
      <c r="E228" t="s">
        <v>103</v>
      </c>
      <c r="F228" t="s">
        <v>495</v>
      </c>
      <c r="G228">
        <v>60</v>
      </c>
      <c r="H228" t="s">
        <v>5</v>
      </c>
      <c r="I228" t="s">
        <v>225</v>
      </c>
      <c r="J228">
        <v>400000</v>
      </c>
      <c r="K228">
        <v>23</v>
      </c>
      <c r="L228">
        <f>VLOOKUP(Merge1[[#This Row],[제품코드]],공정중_우선순위[[제품코드]:[우선순위]],4,0)</f>
        <v>23</v>
      </c>
      <c r="M228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29" spans="1:13" ht="54" x14ac:dyDescent="0.25">
      <c r="A229" t="s">
        <v>200</v>
      </c>
      <c r="B229" t="s">
        <v>488</v>
      </c>
      <c r="C229" t="s">
        <v>489</v>
      </c>
      <c r="D229" t="s">
        <v>102</v>
      </c>
      <c r="E229" t="s">
        <v>103</v>
      </c>
      <c r="F229" t="s">
        <v>490</v>
      </c>
      <c r="G229">
        <v>60</v>
      </c>
      <c r="H229" t="s">
        <v>5</v>
      </c>
      <c r="I229" t="s">
        <v>225</v>
      </c>
      <c r="J229">
        <v>400000</v>
      </c>
      <c r="K229">
        <v>23</v>
      </c>
      <c r="L229">
        <f>VLOOKUP(Merge1[[#This Row],[제품코드]],공정중_우선순위[[제품코드]:[우선순위]],4,0)</f>
        <v>23</v>
      </c>
      <c r="M229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30" spans="1:13" ht="54" x14ac:dyDescent="0.25">
      <c r="A230" t="s">
        <v>200</v>
      </c>
      <c r="B230" t="s">
        <v>488</v>
      </c>
      <c r="C230" t="s">
        <v>492</v>
      </c>
      <c r="D230" t="s">
        <v>102</v>
      </c>
      <c r="E230" t="s">
        <v>103</v>
      </c>
      <c r="F230" t="s">
        <v>493</v>
      </c>
      <c r="G230">
        <v>60</v>
      </c>
      <c r="H230" t="s">
        <v>5</v>
      </c>
      <c r="I230" t="s">
        <v>225</v>
      </c>
      <c r="J230">
        <v>400000</v>
      </c>
      <c r="K230">
        <v>23</v>
      </c>
      <c r="L230">
        <f>VLOOKUP(Merge1[[#This Row],[제품코드]],공정중_우선순위[[제품코드]:[우선순위]],4,0)</f>
        <v>23</v>
      </c>
      <c r="M230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31" spans="1:13" ht="54" x14ac:dyDescent="0.25">
      <c r="A231" t="s">
        <v>200</v>
      </c>
      <c r="B231" t="s">
        <v>488</v>
      </c>
      <c r="C231" t="s">
        <v>494</v>
      </c>
      <c r="D231" t="s">
        <v>102</v>
      </c>
      <c r="E231" t="s">
        <v>103</v>
      </c>
      <c r="F231" t="s">
        <v>495</v>
      </c>
      <c r="G231">
        <v>60</v>
      </c>
      <c r="H231" t="s">
        <v>5</v>
      </c>
      <c r="I231" t="s">
        <v>225</v>
      </c>
      <c r="J231">
        <v>400000</v>
      </c>
      <c r="K231">
        <v>23</v>
      </c>
      <c r="L231">
        <f>VLOOKUP(Merge1[[#This Row],[제품코드]],공정중_우선순위[[제품코드]:[우선순위]],4,0)</f>
        <v>23</v>
      </c>
      <c r="M231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32" spans="1:13" ht="54" x14ac:dyDescent="0.25">
      <c r="A232" t="s">
        <v>200</v>
      </c>
      <c r="B232" t="s">
        <v>488</v>
      </c>
      <c r="C232" t="s">
        <v>489</v>
      </c>
      <c r="D232" t="s">
        <v>102</v>
      </c>
      <c r="E232" t="s">
        <v>103</v>
      </c>
      <c r="F232" t="s">
        <v>490</v>
      </c>
      <c r="G232">
        <v>60</v>
      </c>
      <c r="H232" t="s">
        <v>5</v>
      </c>
      <c r="I232" t="s">
        <v>225</v>
      </c>
      <c r="J232">
        <v>400000</v>
      </c>
      <c r="K232">
        <v>23</v>
      </c>
      <c r="L232">
        <f>VLOOKUP(Merge1[[#This Row],[제품코드]],공정중_우선순위[[제품코드]:[우선순위]],4,0)</f>
        <v>23</v>
      </c>
      <c r="M232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33" spans="1:13" ht="54" x14ac:dyDescent="0.25">
      <c r="A233" t="s">
        <v>200</v>
      </c>
      <c r="B233" t="s">
        <v>488</v>
      </c>
      <c r="C233" t="s">
        <v>492</v>
      </c>
      <c r="D233" t="s">
        <v>102</v>
      </c>
      <c r="E233" t="s">
        <v>103</v>
      </c>
      <c r="F233" t="s">
        <v>493</v>
      </c>
      <c r="G233">
        <v>60</v>
      </c>
      <c r="H233" t="s">
        <v>5</v>
      </c>
      <c r="I233" t="s">
        <v>225</v>
      </c>
      <c r="J233">
        <v>400000</v>
      </c>
      <c r="K233">
        <v>23</v>
      </c>
      <c r="L233">
        <f>VLOOKUP(Merge1[[#This Row],[제품코드]],공정중_우선순위[[제품코드]:[우선순위]],4,0)</f>
        <v>23</v>
      </c>
      <c r="M233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34" spans="1:13" ht="54" x14ac:dyDescent="0.25">
      <c r="A234" t="s">
        <v>200</v>
      </c>
      <c r="B234" t="s">
        <v>488</v>
      </c>
      <c r="C234" t="s">
        <v>494</v>
      </c>
      <c r="D234" t="s">
        <v>102</v>
      </c>
      <c r="E234" t="s">
        <v>103</v>
      </c>
      <c r="F234" t="s">
        <v>495</v>
      </c>
      <c r="G234">
        <v>60</v>
      </c>
      <c r="H234" t="s">
        <v>5</v>
      </c>
      <c r="I234" t="s">
        <v>225</v>
      </c>
      <c r="J234">
        <v>400000</v>
      </c>
      <c r="K234">
        <v>23</v>
      </c>
      <c r="L234">
        <f>VLOOKUP(Merge1[[#This Row],[제품코드]],공정중_우선순위[[제품코드]:[우선순위]],4,0)</f>
        <v>23</v>
      </c>
      <c r="M234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35" spans="1:13" ht="54" x14ac:dyDescent="0.25">
      <c r="A235" t="s">
        <v>200</v>
      </c>
      <c r="B235" t="s">
        <v>488</v>
      </c>
      <c r="C235" t="s">
        <v>489</v>
      </c>
      <c r="D235" t="s">
        <v>102</v>
      </c>
      <c r="E235" t="s">
        <v>103</v>
      </c>
      <c r="F235" t="s">
        <v>490</v>
      </c>
      <c r="G235">
        <v>80</v>
      </c>
      <c r="H235" t="s">
        <v>9</v>
      </c>
      <c r="I235" t="s">
        <v>327</v>
      </c>
      <c r="J235">
        <v>400000</v>
      </c>
      <c r="K235">
        <v>12</v>
      </c>
      <c r="L235">
        <f>VLOOKUP(Merge1[[#This Row],[제품코드]],공정중_우선순위[[제품코드]:[우선순위]],4,0)</f>
        <v>23</v>
      </c>
      <c r="M235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36" spans="1:13" ht="54" x14ac:dyDescent="0.25">
      <c r="A236" t="s">
        <v>200</v>
      </c>
      <c r="B236" t="s">
        <v>488</v>
      </c>
      <c r="C236" t="s">
        <v>492</v>
      </c>
      <c r="D236" t="s">
        <v>102</v>
      </c>
      <c r="E236" t="s">
        <v>103</v>
      </c>
      <c r="F236" t="s">
        <v>493</v>
      </c>
      <c r="G236">
        <v>80</v>
      </c>
      <c r="H236" t="s">
        <v>9</v>
      </c>
      <c r="I236" t="s">
        <v>327</v>
      </c>
      <c r="J236">
        <v>400000</v>
      </c>
      <c r="K236">
        <v>12</v>
      </c>
      <c r="L236">
        <f>VLOOKUP(Merge1[[#This Row],[제품코드]],공정중_우선순위[[제품코드]:[우선순위]],4,0)</f>
        <v>23</v>
      </c>
      <c r="M236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37" spans="1:13" ht="54" x14ac:dyDescent="0.25">
      <c r="A237" t="s">
        <v>200</v>
      </c>
      <c r="B237" t="s">
        <v>488</v>
      </c>
      <c r="C237" t="s">
        <v>494</v>
      </c>
      <c r="D237" t="s">
        <v>102</v>
      </c>
      <c r="E237" t="s">
        <v>103</v>
      </c>
      <c r="F237" t="s">
        <v>495</v>
      </c>
      <c r="G237">
        <v>80</v>
      </c>
      <c r="H237" t="s">
        <v>9</v>
      </c>
      <c r="I237" t="s">
        <v>327</v>
      </c>
      <c r="J237">
        <v>400000</v>
      </c>
      <c r="K237">
        <v>12</v>
      </c>
      <c r="L237">
        <f>VLOOKUP(Merge1[[#This Row],[제품코드]],공정중_우선순위[[제품코드]:[우선순위]],4,0)</f>
        <v>23</v>
      </c>
      <c r="M237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38" spans="1:13" ht="54" x14ac:dyDescent="0.25">
      <c r="A238" t="s">
        <v>200</v>
      </c>
      <c r="B238" t="s">
        <v>488</v>
      </c>
      <c r="C238" t="s">
        <v>489</v>
      </c>
      <c r="D238" t="s">
        <v>102</v>
      </c>
      <c r="E238" t="s">
        <v>103</v>
      </c>
      <c r="F238" t="s">
        <v>490</v>
      </c>
      <c r="G238">
        <v>80</v>
      </c>
      <c r="H238" t="s">
        <v>9</v>
      </c>
      <c r="I238" t="s">
        <v>327</v>
      </c>
      <c r="J238">
        <v>400000</v>
      </c>
      <c r="K238">
        <v>12</v>
      </c>
      <c r="L238">
        <f>VLOOKUP(Merge1[[#This Row],[제품코드]],공정중_우선순위[[제품코드]:[우선순위]],4,0)</f>
        <v>23</v>
      </c>
      <c r="M238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39" spans="1:13" ht="54" x14ac:dyDescent="0.25">
      <c r="A239" t="s">
        <v>200</v>
      </c>
      <c r="B239" t="s">
        <v>488</v>
      </c>
      <c r="C239" t="s">
        <v>492</v>
      </c>
      <c r="D239" t="s">
        <v>102</v>
      </c>
      <c r="E239" t="s">
        <v>103</v>
      </c>
      <c r="F239" t="s">
        <v>493</v>
      </c>
      <c r="G239">
        <v>80</v>
      </c>
      <c r="H239" t="s">
        <v>9</v>
      </c>
      <c r="I239" t="s">
        <v>327</v>
      </c>
      <c r="J239">
        <v>400000</v>
      </c>
      <c r="K239">
        <v>12</v>
      </c>
      <c r="L239">
        <f>VLOOKUP(Merge1[[#This Row],[제품코드]],공정중_우선순위[[제품코드]:[우선순위]],4,0)</f>
        <v>23</v>
      </c>
      <c r="M239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40" spans="1:13" ht="54" x14ac:dyDescent="0.25">
      <c r="A240" t="s">
        <v>200</v>
      </c>
      <c r="B240" t="s">
        <v>488</v>
      </c>
      <c r="C240" t="s">
        <v>494</v>
      </c>
      <c r="D240" t="s">
        <v>102</v>
      </c>
      <c r="E240" t="s">
        <v>103</v>
      </c>
      <c r="F240" t="s">
        <v>495</v>
      </c>
      <c r="G240">
        <v>80</v>
      </c>
      <c r="H240" t="s">
        <v>9</v>
      </c>
      <c r="I240" t="s">
        <v>327</v>
      </c>
      <c r="J240">
        <v>400000</v>
      </c>
      <c r="K240">
        <v>12</v>
      </c>
      <c r="L240">
        <f>VLOOKUP(Merge1[[#This Row],[제품코드]],공정중_우선순위[[제품코드]:[우선순위]],4,0)</f>
        <v>23</v>
      </c>
      <c r="M240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41" spans="1:13" ht="54" x14ac:dyDescent="0.25">
      <c r="A241" t="s">
        <v>200</v>
      </c>
      <c r="B241" t="s">
        <v>488</v>
      </c>
      <c r="C241" t="s">
        <v>489</v>
      </c>
      <c r="D241" t="s">
        <v>102</v>
      </c>
      <c r="E241" t="s">
        <v>103</v>
      </c>
      <c r="F241" t="s">
        <v>490</v>
      </c>
      <c r="G241">
        <v>80</v>
      </c>
      <c r="H241" t="s">
        <v>9</v>
      </c>
      <c r="I241" t="s">
        <v>327</v>
      </c>
      <c r="J241">
        <v>400000</v>
      </c>
      <c r="K241">
        <v>12</v>
      </c>
      <c r="L241">
        <f>VLOOKUP(Merge1[[#This Row],[제품코드]],공정중_우선순위[[제품코드]:[우선순위]],4,0)</f>
        <v>23</v>
      </c>
      <c r="M241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42" spans="1:13" ht="54" x14ac:dyDescent="0.25">
      <c r="A242" t="s">
        <v>200</v>
      </c>
      <c r="B242" t="s">
        <v>488</v>
      </c>
      <c r="C242" t="s">
        <v>492</v>
      </c>
      <c r="D242" t="s">
        <v>102</v>
      </c>
      <c r="E242" t="s">
        <v>103</v>
      </c>
      <c r="F242" t="s">
        <v>493</v>
      </c>
      <c r="G242">
        <v>80</v>
      </c>
      <c r="H242" t="s">
        <v>9</v>
      </c>
      <c r="I242" t="s">
        <v>327</v>
      </c>
      <c r="J242">
        <v>400000</v>
      </c>
      <c r="K242">
        <v>12</v>
      </c>
      <c r="L242">
        <f>VLOOKUP(Merge1[[#This Row],[제품코드]],공정중_우선순위[[제품코드]:[우선순위]],4,0)</f>
        <v>23</v>
      </c>
      <c r="M242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43" spans="1:13" ht="54" x14ac:dyDescent="0.25">
      <c r="A243" t="s">
        <v>200</v>
      </c>
      <c r="B243" t="s">
        <v>488</v>
      </c>
      <c r="C243" t="s">
        <v>494</v>
      </c>
      <c r="D243" t="s">
        <v>102</v>
      </c>
      <c r="E243" t="s">
        <v>103</v>
      </c>
      <c r="F243" t="s">
        <v>495</v>
      </c>
      <c r="G243">
        <v>80</v>
      </c>
      <c r="H243" t="s">
        <v>9</v>
      </c>
      <c r="I243" t="s">
        <v>327</v>
      </c>
      <c r="J243">
        <v>400000</v>
      </c>
      <c r="K243">
        <v>12</v>
      </c>
      <c r="L243">
        <f>VLOOKUP(Merge1[[#This Row],[제품코드]],공정중_우선순위[[제품코드]:[우선순위]],4,0)</f>
        <v>23</v>
      </c>
      <c r="M243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44" spans="1:13" ht="54" x14ac:dyDescent="0.25">
      <c r="A244" t="s">
        <v>200</v>
      </c>
      <c r="B244" t="s">
        <v>488</v>
      </c>
      <c r="C244" t="s">
        <v>489</v>
      </c>
      <c r="D244" t="s">
        <v>102</v>
      </c>
      <c r="E244" t="s">
        <v>103</v>
      </c>
      <c r="F244" t="s">
        <v>490</v>
      </c>
      <c r="G244">
        <v>100</v>
      </c>
      <c r="H244" t="s">
        <v>14</v>
      </c>
      <c r="I244" t="s">
        <v>233</v>
      </c>
      <c r="J244">
        <v>400000</v>
      </c>
      <c r="K244">
        <v>7</v>
      </c>
      <c r="L244">
        <f>VLOOKUP(Merge1[[#This Row],[제품코드]],공정중_우선순위[[제품코드]:[우선순위]],4,0)</f>
        <v>23</v>
      </c>
      <c r="M244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45" spans="1:13" ht="54" x14ac:dyDescent="0.25">
      <c r="A245" t="s">
        <v>200</v>
      </c>
      <c r="B245" t="s">
        <v>488</v>
      </c>
      <c r="C245" t="s">
        <v>492</v>
      </c>
      <c r="D245" t="s">
        <v>102</v>
      </c>
      <c r="E245" t="s">
        <v>103</v>
      </c>
      <c r="F245" t="s">
        <v>493</v>
      </c>
      <c r="G245">
        <v>100</v>
      </c>
      <c r="H245" t="s">
        <v>14</v>
      </c>
      <c r="I245" t="s">
        <v>233</v>
      </c>
      <c r="J245">
        <v>400000</v>
      </c>
      <c r="K245">
        <v>7</v>
      </c>
      <c r="L245">
        <f>VLOOKUP(Merge1[[#This Row],[제품코드]],공정중_우선순위[[제품코드]:[우선순위]],4,0)</f>
        <v>23</v>
      </c>
      <c r="M245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46" spans="1:13" ht="54" x14ac:dyDescent="0.25">
      <c r="A246" t="s">
        <v>200</v>
      </c>
      <c r="B246" t="s">
        <v>488</v>
      </c>
      <c r="C246" t="s">
        <v>494</v>
      </c>
      <c r="D246" t="s">
        <v>102</v>
      </c>
      <c r="E246" t="s">
        <v>103</v>
      </c>
      <c r="F246" t="s">
        <v>495</v>
      </c>
      <c r="G246">
        <v>100</v>
      </c>
      <c r="H246" t="s">
        <v>14</v>
      </c>
      <c r="I246" t="s">
        <v>233</v>
      </c>
      <c r="J246">
        <v>400000</v>
      </c>
      <c r="K246">
        <v>7</v>
      </c>
      <c r="L246">
        <f>VLOOKUP(Merge1[[#This Row],[제품코드]],공정중_우선순위[[제품코드]:[우선순위]],4,0)</f>
        <v>23</v>
      </c>
      <c r="M246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47" spans="1:13" ht="54" x14ac:dyDescent="0.25">
      <c r="A247" t="s">
        <v>200</v>
      </c>
      <c r="B247" t="s">
        <v>488</v>
      </c>
      <c r="C247" t="s">
        <v>489</v>
      </c>
      <c r="D247" t="s">
        <v>102</v>
      </c>
      <c r="E247" t="s">
        <v>103</v>
      </c>
      <c r="F247" t="s">
        <v>490</v>
      </c>
      <c r="G247">
        <v>100</v>
      </c>
      <c r="H247" t="s">
        <v>14</v>
      </c>
      <c r="I247" t="s">
        <v>233</v>
      </c>
      <c r="J247">
        <v>400000</v>
      </c>
      <c r="K247">
        <v>7</v>
      </c>
      <c r="L247">
        <f>VLOOKUP(Merge1[[#This Row],[제품코드]],공정중_우선순위[[제품코드]:[우선순위]],4,0)</f>
        <v>23</v>
      </c>
      <c r="M247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48" spans="1:13" ht="54" x14ac:dyDescent="0.25">
      <c r="A248" t="s">
        <v>200</v>
      </c>
      <c r="B248" t="s">
        <v>488</v>
      </c>
      <c r="C248" t="s">
        <v>492</v>
      </c>
      <c r="D248" t="s">
        <v>102</v>
      </c>
      <c r="E248" t="s">
        <v>103</v>
      </c>
      <c r="F248" t="s">
        <v>493</v>
      </c>
      <c r="G248">
        <v>100</v>
      </c>
      <c r="H248" t="s">
        <v>14</v>
      </c>
      <c r="I248" t="s">
        <v>233</v>
      </c>
      <c r="J248">
        <v>400000</v>
      </c>
      <c r="K248">
        <v>7</v>
      </c>
      <c r="L248">
        <f>VLOOKUP(Merge1[[#This Row],[제품코드]],공정중_우선순위[[제품코드]:[우선순위]],4,0)</f>
        <v>23</v>
      </c>
      <c r="M248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49" spans="1:13" ht="54" x14ac:dyDescent="0.25">
      <c r="A249" t="s">
        <v>200</v>
      </c>
      <c r="B249" t="s">
        <v>488</v>
      </c>
      <c r="C249" t="s">
        <v>494</v>
      </c>
      <c r="D249" t="s">
        <v>102</v>
      </c>
      <c r="E249" t="s">
        <v>103</v>
      </c>
      <c r="F249" t="s">
        <v>495</v>
      </c>
      <c r="G249">
        <v>100</v>
      </c>
      <c r="H249" t="s">
        <v>14</v>
      </c>
      <c r="I249" t="s">
        <v>233</v>
      </c>
      <c r="J249">
        <v>400000</v>
      </c>
      <c r="K249">
        <v>7</v>
      </c>
      <c r="L249">
        <f>VLOOKUP(Merge1[[#This Row],[제품코드]],공정중_우선순위[[제품코드]:[우선순위]],4,0)</f>
        <v>23</v>
      </c>
      <c r="M249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50" spans="1:13" ht="54" x14ac:dyDescent="0.25">
      <c r="A250" t="s">
        <v>200</v>
      </c>
      <c r="B250" t="s">
        <v>488</v>
      </c>
      <c r="C250" t="s">
        <v>489</v>
      </c>
      <c r="D250" t="s">
        <v>102</v>
      </c>
      <c r="E250" t="s">
        <v>103</v>
      </c>
      <c r="F250" t="s">
        <v>490</v>
      </c>
      <c r="G250">
        <v>110</v>
      </c>
      <c r="H250" t="s">
        <v>6</v>
      </c>
      <c r="I250" t="s">
        <v>234</v>
      </c>
      <c r="J250">
        <v>400000</v>
      </c>
      <c r="K250">
        <v>6</v>
      </c>
      <c r="L250">
        <f>VLOOKUP(Merge1[[#This Row],[제품코드]],공정중_우선순위[[제품코드]:[우선순위]],4,0)</f>
        <v>23</v>
      </c>
      <c r="M250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51" spans="1:13" ht="54" x14ac:dyDescent="0.25">
      <c r="A251" t="s">
        <v>200</v>
      </c>
      <c r="B251" t="s">
        <v>488</v>
      </c>
      <c r="C251" t="s">
        <v>492</v>
      </c>
      <c r="D251" t="s">
        <v>102</v>
      </c>
      <c r="E251" t="s">
        <v>103</v>
      </c>
      <c r="F251" t="s">
        <v>493</v>
      </c>
      <c r="G251">
        <v>110</v>
      </c>
      <c r="H251" t="s">
        <v>6</v>
      </c>
      <c r="I251" t="s">
        <v>234</v>
      </c>
      <c r="J251">
        <v>400000</v>
      </c>
      <c r="K251">
        <v>6</v>
      </c>
      <c r="L251">
        <f>VLOOKUP(Merge1[[#This Row],[제품코드]],공정중_우선순위[[제품코드]:[우선순위]],4,0)</f>
        <v>23</v>
      </c>
      <c r="M251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52" spans="1:13" ht="54" x14ac:dyDescent="0.25">
      <c r="A252" t="s">
        <v>200</v>
      </c>
      <c r="B252" t="s">
        <v>488</v>
      </c>
      <c r="C252" t="s">
        <v>494</v>
      </c>
      <c r="D252" t="s">
        <v>102</v>
      </c>
      <c r="E252" t="s">
        <v>103</v>
      </c>
      <c r="F252" t="s">
        <v>495</v>
      </c>
      <c r="G252">
        <v>110</v>
      </c>
      <c r="H252" t="s">
        <v>6</v>
      </c>
      <c r="I252" t="s">
        <v>234</v>
      </c>
      <c r="J252">
        <v>400000</v>
      </c>
      <c r="K252">
        <v>6</v>
      </c>
      <c r="L252">
        <f>VLOOKUP(Merge1[[#This Row],[제품코드]],공정중_우선순위[[제품코드]:[우선순위]],4,0)</f>
        <v>23</v>
      </c>
      <c r="M252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53" spans="1:13" ht="54" x14ac:dyDescent="0.25">
      <c r="A253" t="s">
        <v>200</v>
      </c>
      <c r="B253" t="s">
        <v>488</v>
      </c>
      <c r="C253" t="s">
        <v>489</v>
      </c>
      <c r="D253" t="s">
        <v>102</v>
      </c>
      <c r="E253" t="s">
        <v>103</v>
      </c>
      <c r="F253" t="s">
        <v>490</v>
      </c>
      <c r="G253">
        <v>110</v>
      </c>
      <c r="H253" t="s">
        <v>6</v>
      </c>
      <c r="I253" t="s">
        <v>234</v>
      </c>
      <c r="J253">
        <v>400000</v>
      </c>
      <c r="K253">
        <v>6</v>
      </c>
      <c r="L253">
        <f>VLOOKUP(Merge1[[#This Row],[제품코드]],공정중_우선순위[[제품코드]:[우선순위]],4,0)</f>
        <v>23</v>
      </c>
      <c r="M253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54" spans="1:13" ht="54" x14ac:dyDescent="0.25">
      <c r="A254" t="s">
        <v>200</v>
      </c>
      <c r="B254" t="s">
        <v>488</v>
      </c>
      <c r="C254" t="s">
        <v>492</v>
      </c>
      <c r="D254" t="s">
        <v>102</v>
      </c>
      <c r="E254" t="s">
        <v>103</v>
      </c>
      <c r="F254" t="s">
        <v>493</v>
      </c>
      <c r="G254">
        <v>110</v>
      </c>
      <c r="H254" t="s">
        <v>6</v>
      </c>
      <c r="I254" t="s">
        <v>234</v>
      </c>
      <c r="J254">
        <v>400000</v>
      </c>
      <c r="K254">
        <v>6</v>
      </c>
      <c r="L254">
        <f>VLOOKUP(Merge1[[#This Row],[제품코드]],공정중_우선순위[[제품코드]:[우선순위]],4,0)</f>
        <v>23</v>
      </c>
      <c r="M254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55" spans="1:13" ht="54" x14ac:dyDescent="0.25">
      <c r="A255" t="s">
        <v>200</v>
      </c>
      <c r="B255" t="s">
        <v>488</v>
      </c>
      <c r="C255" t="s">
        <v>494</v>
      </c>
      <c r="D255" t="s">
        <v>102</v>
      </c>
      <c r="E255" t="s">
        <v>103</v>
      </c>
      <c r="F255" t="s">
        <v>495</v>
      </c>
      <c r="G255">
        <v>110</v>
      </c>
      <c r="H255" t="s">
        <v>6</v>
      </c>
      <c r="I255" t="s">
        <v>234</v>
      </c>
      <c r="J255">
        <v>400000</v>
      </c>
      <c r="K255">
        <v>6</v>
      </c>
      <c r="L255">
        <f>VLOOKUP(Merge1[[#This Row],[제품코드]],공정중_우선순위[[제품코드]:[우선순위]],4,0)</f>
        <v>23</v>
      </c>
      <c r="M255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56" spans="1:13" ht="54" x14ac:dyDescent="0.25">
      <c r="A256" t="s">
        <v>200</v>
      </c>
      <c r="B256" t="s">
        <v>488</v>
      </c>
      <c r="C256" t="s">
        <v>489</v>
      </c>
      <c r="D256" t="s">
        <v>102</v>
      </c>
      <c r="E256" t="s">
        <v>103</v>
      </c>
      <c r="F256" t="s">
        <v>490</v>
      </c>
      <c r="G256">
        <v>110</v>
      </c>
      <c r="H256" t="s">
        <v>6</v>
      </c>
      <c r="I256" t="s">
        <v>234</v>
      </c>
      <c r="J256">
        <v>400000</v>
      </c>
      <c r="K256">
        <v>6</v>
      </c>
      <c r="L256">
        <f>VLOOKUP(Merge1[[#This Row],[제품코드]],공정중_우선순위[[제품코드]:[우선순위]],4,0)</f>
        <v>23</v>
      </c>
      <c r="M256" s="10" t="str">
        <f>_xlfn.TEXTJOIN(CHAR(10), TRUE, ,Merge1[[#This Row],[제품명]],Merge1[[#This Row],[오더번호]],Merge1[[#This Row],[제조번호]],Merge1[[#This Row],[지시수량]])</f>
        <v>아펙손정 반제품
1015662
A002972
400000</v>
      </c>
    </row>
    <row r="257" spans="1:13" ht="54" x14ac:dyDescent="0.25">
      <c r="A257" t="s">
        <v>200</v>
      </c>
      <c r="B257" t="s">
        <v>488</v>
      </c>
      <c r="C257" t="s">
        <v>492</v>
      </c>
      <c r="D257" t="s">
        <v>102</v>
      </c>
      <c r="E257" t="s">
        <v>103</v>
      </c>
      <c r="F257" t="s">
        <v>493</v>
      </c>
      <c r="G257">
        <v>110</v>
      </c>
      <c r="H257" t="s">
        <v>6</v>
      </c>
      <c r="I257" t="s">
        <v>234</v>
      </c>
      <c r="J257">
        <v>400000</v>
      </c>
      <c r="K257">
        <v>6</v>
      </c>
      <c r="L257">
        <f>VLOOKUP(Merge1[[#This Row],[제품코드]],공정중_우선순위[[제품코드]:[우선순위]],4,0)</f>
        <v>23</v>
      </c>
      <c r="M257" s="10" t="str">
        <f>_xlfn.TEXTJOIN(CHAR(10), TRUE, ,Merge1[[#This Row],[제품명]],Merge1[[#This Row],[오더번호]],Merge1[[#This Row],[제조번호]],Merge1[[#This Row],[지시수량]])</f>
        <v>아펙손정 반제품
1015676
A002974
400000</v>
      </c>
    </row>
    <row r="258" spans="1:13" ht="54" x14ac:dyDescent="0.25">
      <c r="A258" t="s">
        <v>200</v>
      </c>
      <c r="B258" t="s">
        <v>488</v>
      </c>
      <c r="C258" t="s">
        <v>494</v>
      </c>
      <c r="D258" t="s">
        <v>102</v>
      </c>
      <c r="E258" t="s">
        <v>103</v>
      </c>
      <c r="F258" t="s">
        <v>495</v>
      </c>
      <c r="G258">
        <v>110</v>
      </c>
      <c r="H258" t="s">
        <v>6</v>
      </c>
      <c r="I258" t="s">
        <v>234</v>
      </c>
      <c r="J258">
        <v>400000</v>
      </c>
      <c r="K258">
        <v>6</v>
      </c>
      <c r="L258">
        <f>VLOOKUP(Merge1[[#This Row],[제품코드]],공정중_우선순위[[제품코드]:[우선순위]],4,0)</f>
        <v>23</v>
      </c>
      <c r="M258" s="10" t="str">
        <f>_xlfn.TEXTJOIN(CHAR(10), TRUE, ,Merge1[[#This Row],[제품명]],Merge1[[#This Row],[오더번호]],Merge1[[#This Row],[제조번호]],Merge1[[#This Row],[지시수량]])</f>
        <v>아펙손정 반제품
1015677
A002975
400000</v>
      </c>
    </row>
    <row r="259" spans="1:13" ht="54" x14ac:dyDescent="0.25">
      <c r="A259" t="s">
        <v>200</v>
      </c>
      <c r="B259" t="s">
        <v>488</v>
      </c>
      <c r="C259" t="s">
        <v>529</v>
      </c>
      <c r="D259" t="s">
        <v>114</v>
      </c>
      <c r="E259" t="s">
        <v>115</v>
      </c>
      <c r="F259" t="s">
        <v>530</v>
      </c>
      <c r="G259">
        <v>30</v>
      </c>
      <c r="H259" t="s">
        <v>104</v>
      </c>
      <c r="I259" t="s">
        <v>491</v>
      </c>
      <c r="J259">
        <v>400000</v>
      </c>
      <c r="K259">
        <v>5</v>
      </c>
      <c r="L259">
        <f>VLOOKUP(Merge1[[#This Row],[제품코드]],공정중_우선순위[[제품코드]:[우선순위]],4,0)</f>
        <v>24</v>
      </c>
      <c r="M259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0" spans="1:13" ht="54" x14ac:dyDescent="0.25">
      <c r="A260" t="s">
        <v>200</v>
      </c>
      <c r="B260" t="s">
        <v>488</v>
      </c>
      <c r="C260" t="s">
        <v>529</v>
      </c>
      <c r="D260" t="s">
        <v>114</v>
      </c>
      <c r="E260" t="s">
        <v>115</v>
      </c>
      <c r="F260" t="s">
        <v>530</v>
      </c>
      <c r="G260">
        <v>40</v>
      </c>
      <c r="H260" t="s">
        <v>105</v>
      </c>
      <c r="I260" t="s">
        <v>496</v>
      </c>
      <c r="J260">
        <v>400000</v>
      </c>
      <c r="K260">
        <v>7</v>
      </c>
      <c r="L260">
        <f>VLOOKUP(Merge1[[#This Row],[제품코드]],공정중_우선순위[[제품코드]:[우선순위]],4,0)</f>
        <v>24</v>
      </c>
      <c r="M260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1" spans="1:13" ht="54" x14ac:dyDescent="0.25">
      <c r="A261" t="s">
        <v>200</v>
      </c>
      <c r="B261" t="s">
        <v>488</v>
      </c>
      <c r="C261" t="s">
        <v>529</v>
      </c>
      <c r="D261" t="s">
        <v>114</v>
      </c>
      <c r="E261" t="s">
        <v>115</v>
      </c>
      <c r="F261" t="s">
        <v>530</v>
      </c>
      <c r="G261">
        <v>50</v>
      </c>
      <c r="H261" t="s">
        <v>106</v>
      </c>
      <c r="I261" t="s">
        <v>222</v>
      </c>
      <c r="J261">
        <v>400000</v>
      </c>
      <c r="K261">
        <v>3</v>
      </c>
      <c r="L261">
        <f>VLOOKUP(Merge1[[#This Row],[제품코드]],공정중_우선순위[[제품코드]:[우선순위]],4,0)</f>
        <v>24</v>
      </c>
      <c r="M261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2" spans="1:13" ht="54" x14ac:dyDescent="0.25">
      <c r="A262" t="s">
        <v>200</v>
      </c>
      <c r="B262" t="s">
        <v>488</v>
      </c>
      <c r="C262" t="s">
        <v>529</v>
      </c>
      <c r="D262" t="s">
        <v>114</v>
      </c>
      <c r="E262" t="s">
        <v>115</v>
      </c>
      <c r="F262" t="s">
        <v>530</v>
      </c>
      <c r="G262">
        <v>51</v>
      </c>
      <c r="H262" t="s">
        <v>107</v>
      </c>
      <c r="I262" t="s">
        <v>222</v>
      </c>
      <c r="J262">
        <v>400000</v>
      </c>
      <c r="K262">
        <v>3</v>
      </c>
      <c r="L262">
        <f>VLOOKUP(Merge1[[#This Row],[제품코드]],공정중_우선순위[[제품코드]:[우선순위]],4,0)</f>
        <v>24</v>
      </c>
      <c r="M262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3" spans="1:13" ht="54" x14ac:dyDescent="0.25">
      <c r="A263" t="s">
        <v>200</v>
      </c>
      <c r="B263" t="s">
        <v>488</v>
      </c>
      <c r="C263" t="s">
        <v>529</v>
      </c>
      <c r="D263" t="s">
        <v>114</v>
      </c>
      <c r="E263" t="s">
        <v>115</v>
      </c>
      <c r="F263" t="s">
        <v>530</v>
      </c>
      <c r="G263">
        <v>60</v>
      </c>
      <c r="H263" t="s">
        <v>5</v>
      </c>
      <c r="I263" t="s">
        <v>225</v>
      </c>
      <c r="J263">
        <v>400000</v>
      </c>
      <c r="K263">
        <v>23</v>
      </c>
      <c r="L263">
        <f>VLOOKUP(Merge1[[#This Row],[제품코드]],공정중_우선순위[[제품코드]:[우선순위]],4,0)</f>
        <v>24</v>
      </c>
      <c r="M263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4" spans="1:13" ht="54" x14ac:dyDescent="0.25">
      <c r="A264" t="s">
        <v>200</v>
      </c>
      <c r="B264" t="s">
        <v>488</v>
      </c>
      <c r="C264" t="s">
        <v>529</v>
      </c>
      <c r="D264" t="s">
        <v>114</v>
      </c>
      <c r="E264" t="s">
        <v>115</v>
      </c>
      <c r="F264" t="s">
        <v>530</v>
      </c>
      <c r="G264">
        <v>80</v>
      </c>
      <c r="H264" t="s">
        <v>9</v>
      </c>
      <c r="I264" t="s">
        <v>327</v>
      </c>
      <c r="J264">
        <v>400000</v>
      </c>
      <c r="K264">
        <v>12</v>
      </c>
      <c r="L264">
        <f>VLOOKUP(Merge1[[#This Row],[제품코드]],공정중_우선순위[[제품코드]:[우선순위]],4,0)</f>
        <v>24</v>
      </c>
      <c r="M264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5" spans="1:13" ht="54" x14ac:dyDescent="0.25">
      <c r="A265" t="s">
        <v>200</v>
      </c>
      <c r="B265" t="s">
        <v>488</v>
      </c>
      <c r="C265" t="s">
        <v>529</v>
      </c>
      <c r="D265" t="s">
        <v>114</v>
      </c>
      <c r="E265" t="s">
        <v>115</v>
      </c>
      <c r="F265" t="s">
        <v>530</v>
      </c>
      <c r="G265">
        <v>100</v>
      </c>
      <c r="H265" t="s">
        <v>14</v>
      </c>
      <c r="I265" t="s">
        <v>233</v>
      </c>
      <c r="J265">
        <v>400000</v>
      </c>
      <c r="K265">
        <v>7</v>
      </c>
      <c r="L265">
        <f>VLOOKUP(Merge1[[#This Row],[제품코드]],공정중_우선순위[[제품코드]:[우선순위]],4,0)</f>
        <v>24</v>
      </c>
      <c r="M265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6" spans="1:13" ht="54" x14ac:dyDescent="0.25">
      <c r="A266" t="s">
        <v>200</v>
      </c>
      <c r="B266" t="s">
        <v>488</v>
      </c>
      <c r="C266" t="s">
        <v>529</v>
      </c>
      <c r="D266" t="s">
        <v>114</v>
      </c>
      <c r="E266" t="s">
        <v>115</v>
      </c>
      <c r="F266" t="s">
        <v>530</v>
      </c>
      <c r="G266">
        <v>110</v>
      </c>
      <c r="H266" t="s">
        <v>6</v>
      </c>
      <c r="I266" t="s">
        <v>234</v>
      </c>
      <c r="J266">
        <v>400000</v>
      </c>
      <c r="K266">
        <v>6</v>
      </c>
      <c r="L266">
        <f>VLOOKUP(Merge1[[#This Row],[제품코드]],공정중_우선순위[[제품코드]:[우선순위]],4,0)</f>
        <v>24</v>
      </c>
      <c r="M266" s="10" t="str">
        <f>_xlfn.TEXTJOIN(CHAR(10), TRUE, ,Merge1[[#This Row],[제품명]],Merge1[[#This Row],[오더번호]],Merge1[[#This Row],[제조번호]],Merge1[[#This Row],[지시수량]])</f>
        <v>페낙손정 반제품 (환인제약)
1015696
AR08AA
400000</v>
      </c>
    </row>
    <row r="267" spans="1:13" ht="54" x14ac:dyDescent="0.25">
      <c r="A267" t="s">
        <v>200</v>
      </c>
      <c r="B267" t="s">
        <v>216</v>
      </c>
      <c r="C267" t="s">
        <v>217</v>
      </c>
      <c r="D267" t="s">
        <v>12</v>
      </c>
      <c r="E267" t="s">
        <v>13</v>
      </c>
      <c r="F267" t="s">
        <v>218</v>
      </c>
      <c r="G267">
        <v>20</v>
      </c>
      <c r="H267" t="s">
        <v>3</v>
      </c>
      <c r="I267" t="s">
        <v>219</v>
      </c>
      <c r="J267">
        <v>800000</v>
      </c>
      <c r="K267">
        <v>19</v>
      </c>
      <c r="L267">
        <f>VLOOKUP(Merge1[[#This Row],[제품코드]],공정중_우선순위[[제품코드]:[우선순위]],4,0)</f>
        <v>25</v>
      </c>
      <c r="M267" s="10" t="str">
        <f>_xlfn.TEXTJOIN(CHAR(10), TRUE, ,Merge1[[#This Row],[제품명]],Merge1[[#This Row],[오더번호]],Merge1[[#This Row],[제조번호]],Merge1[[#This Row],[지시수량]])</f>
        <v>아펜탈정100MG 반제품
1015698
A002979
800000</v>
      </c>
    </row>
    <row r="268" spans="1:13" ht="54" x14ac:dyDescent="0.25">
      <c r="A268" t="s">
        <v>200</v>
      </c>
      <c r="B268" t="s">
        <v>216</v>
      </c>
      <c r="C268" t="s">
        <v>220</v>
      </c>
      <c r="D268" t="s">
        <v>12</v>
      </c>
      <c r="E268" t="s">
        <v>13</v>
      </c>
      <c r="F268" t="s">
        <v>221</v>
      </c>
      <c r="G268">
        <v>20</v>
      </c>
      <c r="H268" t="s">
        <v>3</v>
      </c>
      <c r="I268" t="s">
        <v>219</v>
      </c>
      <c r="J268">
        <v>800000</v>
      </c>
      <c r="K268">
        <v>19</v>
      </c>
      <c r="L268">
        <f>VLOOKUP(Merge1[[#This Row],[제품코드]],공정중_우선순위[[제품코드]:[우선순위]],4,0)</f>
        <v>25</v>
      </c>
      <c r="M268" s="10" t="str">
        <f>_xlfn.TEXTJOIN(CHAR(10), TRUE, ,Merge1[[#This Row],[제품명]],Merge1[[#This Row],[오더번호]],Merge1[[#This Row],[제조번호]],Merge1[[#This Row],[지시수량]])</f>
        <v>아펜탈정100MG 반제품
1015699
A002980
800000</v>
      </c>
    </row>
    <row r="269" spans="1:13" ht="54" x14ac:dyDescent="0.25">
      <c r="A269" t="s">
        <v>200</v>
      </c>
      <c r="B269" t="s">
        <v>216</v>
      </c>
      <c r="C269" t="s">
        <v>217</v>
      </c>
      <c r="D269" t="s">
        <v>12</v>
      </c>
      <c r="E269" t="s">
        <v>13</v>
      </c>
      <c r="F269" t="s">
        <v>218</v>
      </c>
      <c r="G269">
        <v>50</v>
      </c>
      <c r="H269" t="s">
        <v>4</v>
      </c>
      <c r="I269" t="s">
        <v>222</v>
      </c>
      <c r="J269">
        <v>800000</v>
      </c>
      <c r="K269">
        <v>6</v>
      </c>
      <c r="L269">
        <f>VLOOKUP(Merge1[[#This Row],[제품코드]],공정중_우선순위[[제품코드]:[우선순위]],4,0)</f>
        <v>25</v>
      </c>
      <c r="M269" s="10" t="str">
        <f>_xlfn.TEXTJOIN(CHAR(10), TRUE, ,Merge1[[#This Row],[제품명]],Merge1[[#This Row],[오더번호]],Merge1[[#This Row],[제조번호]],Merge1[[#This Row],[지시수량]])</f>
        <v>아펜탈정100MG 반제품
1015698
A002979
800000</v>
      </c>
    </row>
    <row r="270" spans="1:13" ht="54" x14ac:dyDescent="0.25">
      <c r="A270" t="s">
        <v>200</v>
      </c>
      <c r="B270" t="s">
        <v>216</v>
      </c>
      <c r="C270" t="s">
        <v>220</v>
      </c>
      <c r="D270" t="s">
        <v>12</v>
      </c>
      <c r="E270" t="s">
        <v>13</v>
      </c>
      <c r="F270" t="s">
        <v>221</v>
      </c>
      <c r="G270">
        <v>50</v>
      </c>
      <c r="H270" t="s">
        <v>4</v>
      </c>
      <c r="I270" t="s">
        <v>222</v>
      </c>
      <c r="J270">
        <v>800000</v>
      </c>
      <c r="K270">
        <v>6</v>
      </c>
      <c r="L270">
        <f>VLOOKUP(Merge1[[#This Row],[제품코드]],공정중_우선순위[[제품코드]:[우선순위]],4,0)</f>
        <v>25</v>
      </c>
      <c r="M270" s="10" t="str">
        <f>_xlfn.TEXTJOIN(CHAR(10), TRUE, ,Merge1[[#This Row],[제품명]],Merge1[[#This Row],[오더번호]],Merge1[[#This Row],[제조번호]],Merge1[[#This Row],[지시수량]])</f>
        <v>아펜탈정100MG 반제품
1015699
A002980
800000</v>
      </c>
    </row>
    <row r="271" spans="1:13" ht="54" x14ac:dyDescent="0.25">
      <c r="A271" t="s">
        <v>200</v>
      </c>
      <c r="B271" t="s">
        <v>216</v>
      </c>
      <c r="C271" t="s">
        <v>223</v>
      </c>
      <c r="D271" t="s">
        <v>12</v>
      </c>
      <c r="E271" t="s">
        <v>13</v>
      </c>
      <c r="F271" t="s">
        <v>224</v>
      </c>
      <c r="G271">
        <v>60</v>
      </c>
      <c r="H271" t="s">
        <v>5</v>
      </c>
      <c r="I271" t="s">
        <v>225</v>
      </c>
      <c r="J271">
        <v>800000</v>
      </c>
      <c r="K271">
        <v>27</v>
      </c>
      <c r="L271">
        <f>VLOOKUP(Merge1[[#This Row],[제품코드]],공정중_우선순위[[제품코드]:[우선순위]],4,0)</f>
        <v>25</v>
      </c>
      <c r="M271" s="10" t="str">
        <f>_xlfn.TEXTJOIN(CHAR(10), TRUE, ,Merge1[[#This Row],[제품명]],Merge1[[#This Row],[오더번호]],Merge1[[#This Row],[제조번호]],Merge1[[#This Row],[지시수량]])</f>
        <v>아펜탈정100MG 반제품
1015217
A002865
800000</v>
      </c>
    </row>
    <row r="272" spans="1:13" ht="54" x14ac:dyDescent="0.25">
      <c r="A272" t="s">
        <v>200</v>
      </c>
      <c r="B272" t="s">
        <v>216</v>
      </c>
      <c r="C272" t="s">
        <v>226</v>
      </c>
      <c r="D272" t="s">
        <v>12</v>
      </c>
      <c r="E272" t="s">
        <v>13</v>
      </c>
      <c r="F272" t="s">
        <v>227</v>
      </c>
      <c r="G272">
        <v>60</v>
      </c>
      <c r="H272" t="s">
        <v>5</v>
      </c>
      <c r="I272" t="s">
        <v>225</v>
      </c>
      <c r="J272">
        <v>800000</v>
      </c>
      <c r="K272">
        <v>27</v>
      </c>
      <c r="L272">
        <f>VLOOKUP(Merge1[[#This Row],[제품코드]],공정중_우선순위[[제품코드]:[우선순위]],4,0)</f>
        <v>25</v>
      </c>
      <c r="M272" s="10" t="str">
        <f>_xlfn.TEXTJOIN(CHAR(10), TRUE, ,Merge1[[#This Row],[제품명]],Merge1[[#This Row],[오더번호]],Merge1[[#This Row],[제조번호]],Merge1[[#This Row],[지시수량]])</f>
        <v>아펜탈정100MG 반제품
1015218
A002866
800000</v>
      </c>
    </row>
    <row r="273" spans="1:13" ht="54" x14ac:dyDescent="0.25">
      <c r="A273" t="s">
        <v>200</v>
      </c>
      <c r="B273" t="s">
        <v>216</v>
      </c>
      <c r="C273" t="s">
        <v>228</v>
      </c>
      <c r="D273" t="s">
        <v>12</v>
      </c>
      <c r="E273" t="s">
        <v>13</v>
      </c>
      <c r="F273" t="s">
        <v>229</v>
      </c>
      <c r="G273">
        <v>60</v>
      </c>
      <c r="H273" t="s">
        <v>5</v>
      </c>
      <c r="I273" t="s">
        <v>225</v>
      </c>
      <c r="J273">
        <v>800000</v>
      </c>
      <c r="K273">
        <v>27</v>
      </c>
      <c r="L273">
        <f>VLOOKUP(Merge1[[#This Row],[제품코드]],공정중_우선순위[[제품코드]:[우선순위]],4,0)</f>
        <v>25</v>
      </c>
      <c r="M273" s="10" t="str">
        <f>_xlfn.TEXTJOIN(CHAR(10), TRUE, ,Merge1[[#This Row],[제품명]],Merge1[[#This Row],[오더번호]],Merge1[[#This Row],[제조번호]],Merge1[[#This Row],[지시수량]])</f>
        <v>아펜탈정100MG 반제품
1015426
A002901
800000</v>
      </c>
    </row>
    <row r="274" spans="1:13" ht="54" x14ac:dyDescent="0.25">
      <c r="A274" t="s">
        <v>200</v>
      </c>
      <c r="B274" t="s">
        <v>216</v>
      </c>
      <c r="C274" t="s">
        <v>230</v>
      </c>
      <c r="D274" t="s">
        <v>12</v>
      </c>
      <c r="E274" t="s">
        <v>13</v>
      </c>
      <c r="F274" t="s">
        <v>231</v>
      </c>
      <c r="G274">
        <v>60</v>
      </c>
      <c r="H274" t="s">
        <v>5</v>
      </c>
      <c r="I274" t="s">
        <v>225</v>
      </c>
      <c r="J274">
        <v>800000</v>
      </c>
      <c r="K274">
        <v>27</v>
      </c>
      <c r="L274">
        <f>VLOOKUP(Merge1[[#This Row],[제품코드]],공정중_우선순위[[제품코드]:[우선순위]],4,0)</f>
        <v>25</v>
      </c>
      <c r="M274" s="10" t="str">
        <f>_xlfn.TEXTJOIN(CHAR(10), TRUE, ,Merge1[[#This Row],[제품명]],Merge1[[#This Row],[오더번호]],Merge1[[#This Row],[제조번호]],Merge1[[#This Row],[지시수량]])</f>
        <v>아펜탈정100MG 반제품
1015427
A002902
800000</v>
      </c>
    </row>
    <row r="275" spans="1:13" ht="54" x14ac:dyDescent="0.25">
      <c r="A275" t="s">
        <v>200</v>
      </c>
      <c r="B275" t="s">
        <v>216</v>
      </c>
      <c r="C275" t="s">
        <v>217</v>
      </c>
      <c r="D275" t="s">
        <v>12</v>
      </c>
      <c r="E275" t="s">
        <v>13</v>
      </c>
      <c r="F275" t="s">
        <v>218</v>
      </c>
      <c r="G275">
        <v>60</v>
      </c>
      <c r="H275" t="s">
        <v>5</v>
      </c>
      <c r="I275" t="s">
        <v>225</v>
      </c>
      <c r="J275">
        <v>800000</v>
      </c>
      <c r="K275">
        <v>27</v>
      </c>
      <c r="L275">
        <f>VLOOKUP(Merge1[[#This Row],[제품코드]],공정중_우선순위[[제품코드]:[우선순위]],4,0)</f>
        <v>25</v>
      </c>
      <c r="M275" s="10" t="str">
        <f>_xlfn.TEXTJOIN(CHAR(10), TRUE, ,Merge1[[#This Row],[제품명]],Merge1[[#This Row],[오더번호]],Merge1[[#This Row],[제조번호]],Merge1[[#This Row],[지시수량]])</f>
        <v>아펜탈정100MG 반제품
1015698
A002979
800000</v>
      </c>
    </row>
    <row r="276" spans="1:13" ht="54" x14ac:dyDescent="0.25">
      <c r="A276" t="s">
        <v>200</v>
      </c>
      <c r="B276" t="s">
        <v>216</v>
      </c>
      <c r="C276" t="s">
        <v>220</v>
      </c>
      <c r="D276" t="s">
        <v>12</v>
      </c>
      <c r="E276" t="s">
        <v>13</v>
      </c>
      <c r="F276" t="s">
        <v>221</v>
      </c>
      <c r="G276">
        <v>60</v>
      </c>
      <c r="H276" t="s">
        <v>5</v>
      </c>
      <c r="I276" t="s">
        <v>225</v>
      </c>
      <c r="J276">
        <v>800000</v>
      </c>
      <c r="K276">
        <v>27</v>
      </c>
      <c r="L276">
        <f>VLOOKUP(Merge1[[#This Row],[제품코드]],공정중_우선순위[[제품코드]:[우선순위]],4,0)</f>
        <v>25</v>
      </c>
      <c r="M276" s="10" t="str">
        <f>_xlfn.TEXTJOIN(CHAR(10), TRUE, ,Merge1[[#This Row],[제품명]],Merge1[[#This Row],[오더번호]],Merge1[[#This Row],[제조번호]],Merge1[[#This Row],[지시수량]])</f>
        <v>아펜탈정100MG 반제품
1015699
A002980
800000</v>
      </c>
    </row>
    <row r="277" spans="1:13" ht="54" x14ac:dyDescent="0.25">
      <c r="A277" t="s">
        <v>200</v>
      </c>
      <c r="B277" t="s">
        <v>216</v>
      </c>
      <c r="C277" t="s">
        <v>223</v>
      </c>
      <c r="D277" t="s">
        <v>12</v>
      </c>
      <c r="E277" t="s">
        <v>13</v>
      </c>
      <c r="F277" t="s">
        <v>224</v>
      </c>
      <c r="G277">
        <v>80</v>
      </c>
      <c r="H277" t="s">
        <v>9</v>
      </c>
      <c r="I277" t="s">
        <v>232</v>
      </c>
      <c r="J277">
        <v>800000</v>
      </c>
      <c r="K277">
        <v>18</v>
      </c>
      <c r="L277">
        <f>VLOOKUP(Merge1[[#This Row],[제품코드]],공정중_우선순위[[제품코드]:[우선순위]],4,0)</f>
        <v>25</v>
      </c>
      <c r="M277" s="10" t="str">
        <f>_xlfn.TEXTJOIN(CHAR(10), TRUE, ,Merge1[[#This Row],[제품명]],Merge1[[#This Row],[오더번호]],Merge1[[#This Row],[제조번호]],Merge1[[#This Row],[지시수량]])</f>
        <v>아펜탈정100MG 반제품
1015217
A002865
800000</v>
      </c>
    </row>
    <row r="278" spans="1:13" ht="54" x14ac:dyDescent="0.25">
      <c r="A278" t="s">
        <v>200</v>
      </c>
      <c r="B278" t="s">
        <v>216</v>
      </c>
      <c r="C278" t="s">
        <v>226</v>
      </c>
      <c r="D278" t="s">
        <v>12</v>
      </c>
      <c r="E278" t="s">
        <v>13</v>
      </c>
      <c r="F278" t="s">
        <v>227</v>
      </c>
      <c r="G278">
        <v>80</v>
      </c>
      <c r="H278" t="s">
        <v>9</v>
      </c>
      <c r="I278" t="s">
        <v>232</v>
      </c>
      <c r="J278">
        <v>800000</v>
      </c>
      <c r="K278">
        <v>18</v>
      </c>
      <c r="L278">
        <f>VLOOKUP(Merge1[[#This Row],[제품코드]],공정중_우선순위[[제품코드]:[우선순위]],4,0)</f>
        <v>25</v>
      </c>
      <c r="M278" s="10" t="str">
        <f>_xlfn.TEXTJOIN(CHAR(10), TRUE, ,Merge1[[#This Row],[제품명]],Merge1[[#This Row],[오더번호]],Merge1[[#This Row],[제조번호]],Merge1[[#This Row],[지시수량]])</f>
        <v>아펜탈정100MG 반제품
1015218
A002866
800000</v>
      </c>
    </row>
    <row r="279" spans="1:13" ht="54" x14ac:dyDescent="0.25">
      <c r="A279" t="s">
        <v>200</v>
      </c>
      <c r="B279" t="s">
        <v>216</v>
      </c>
      <c r="C279" t="s">
        <v>228</v>
      </c>
      <c r="D279" t="s">
        <v>12</v>
      </c>
      <c r="E279" t="s">
        <v>13</v>
      </c>
      <c r="F279" t="s">
        <v>229</v>
      </c>
      <c r="G279">
        <v>80</v>
      </c>
      <c r="H279" t="s">
        <v>9</v>
      </c>
      <c r="I279" t="s">
        <v>232</v>
      </c>
      <c r="J279">
        <v>800000</v>
      </c>
      <c r="K279">
        <v>18</v>
      </c>
      <c r="L279">
        <f>VLOOKUP(Merge1[[#This Row],[제품코드]],공정중_우선순위[[제품코드]:[우선순위]],4,0)</f>
        <v>25</v>
      </c>
      <c r="M279" s="10" t="str">
        <f>_xlfn.TEXTJOIN(CHAR(10), TRUE, ,Merge1[[#This Row],[제품명]],Merge1[[#This Row],[오더번호]],Merge1[[#This Row],[제조번호]],Merge1[[#This Row],[지시수량]])</f>
        <v>아펜탈정100MG 반제품
1015426
A002901
800000</v>
      </c>
    </row>
    <row r="280" spans="1:13" ht="54" x14ac:dyDescent="0.25">
      <c r="A280" t="s">
        <v>200</v>
      </c>
      <c r="B280" t="s">
        <v>216</v>
      </c>
      <c r="C280" t="s">
        <v>230</v>
      </c>
      <c r="D280" t="s">
        <v>12</v>
      </c>
      <c r="E280" t="s">
        <v>13</v>
      </c>
      <c r="F280" t="s">
        <v>231</v>
      </c>
      <c r="G280">
        <v>80</v>
      </c>
      <c r="H280" t="s">
        <v>9</v>
      </c>
      <c r="I280" t="s">
        <v>232</v>
      </c>
      <c r="J280">
        <v>800000</v>
      </c>
      <c r="K280">
        <v>18</v>
      </c>
      <c r="L280">
        <f>VLOOKUP(Merge1[[#This Row],[제품코드]],공정중_우선순위[[제품코드]:[우선순위]],4,0)</f>
        <v>25</v>
      </c>
      <c r="M280" s="10" t="str">
        <f>_xlfn.TEXTJOIN(CHAR(10), TRUE, ,Merge1[[#This Row],[제품명]],Merge1[[#This Row],[오더번호]],Merge1[[#This Row],[제조번호]],Merge1[[#This Row],[지시수량]])</f>
        <v>아펜탈정100MG 반제품
1015427
A002902
800000</v>
      </c>
    </row>
    <row r="281" spans="1:13" ht="54" x14ac:dyDescent="0.25">
      <c r="A281" t="s">
        <v>200</v>
      </c>
      <c r="B281" t="s">
        <v>216</v>
      </c>
      <c r="C281" t="s">
        <v>217</v>
      </c>
      <c r="D281" t="s">
        <v>12</v>
      </c>
      <c r="E281" t="s">
        <v>13</v>
      </c>
      <c r="F281" t="s">
        <v>218</v>
      </c>
      <c r="G281">
        <v>80</v>
      </c>
      <c r="H281" t="s">
        <v>9</v>
      </c>
      <c r="I281" t="s">
        <v>232</v>
      </c>
      <c r="J281">
        <v>800000</v>
      </c>
      <c r="K281">
        <v>18</v>
      </c>
      <c r="L281">
        <f>VLOOKUP(Merge1[[#This Row],[제품코드]],공정중_우선순위[[제품코드]:[우선순위]],4,0)</f>
        <v>25</v>
      </c>
      <c r="M281" s="10" t="str">
        <f>_xlfn.TEXTJOIN(CHAR(10), TRUE, ,Merge1[[#This Row],[제품명]],Merge1[[#This Row],[오더번호]],Merge1[[#This Row],[제조번호]],Merge1[[#This Row],[지시수량]])</f>
        <v>아펜탈정100MG 반제품
1015698
A002979
800000</v>
      </c>
    </row>
    <row r="282" spans="1:13" ht="54" x14ac:dyDescent="0.25">
      <c r="A282" t="s">
        <v>200</v>
      </c>
      <c r="B282" t="s">
        <v>216</v>
      </c>
      <c r="C282" t="s">
        <v>220</v>
      </c>
      <c r="D282" t="s">
        <v>12</v>
      </c>
      <c r="E282" t="s">
        <v>13</v>
      </c>
      <c r="F282" t="s">
        <v>221</v>
      </c>
      <c r="G282">
        <v>80</v>
      </c>
      <c r="H282" t="s">
        <v>9</v>
      </c>
      <c r="I282" t="s">
        <v>232</v>
      </c>
      <c r="J282">
        <v>800000</v>
      </c>
      <c r="K282">
        <v>18</v>
      </c>
      <c r="L282">
        <f>VLOOKUP(Merge1[[#This Row],[제품코드]],공정중_우선순위[[제품코드]:[우선순위]],4,0)</f>
        <v>25</v>
      </c>
      <c r="M282" s="10" t="str">
        <f>_xlfn.TEXTJOIN(CHAR(10), TRUE, ,Merge1[[#This Row],[제품명]],Merge1[[#This Row],[오더번호]],Merge1[[#This Row],[제조번호]],Merge1[[#This Row],[지시수량]])</f>
        <v>아펜탈정100MG 반제품
1015699
A002980
800000</v>
      </c>
    </row>
    <row r="283" spans="1:13" ht="54" x14ac:dyDescent="0.25">
      <c r="A283" t="s">
        <v>200</v>
      </c>
      <c r="B283" t="s">
        <v>216</v>
      </c>
      <c r="C283" t="s">
        <v>228</v>
      </c>
      <c r="D283" t="s">
        <v>12</v>
      </c>
      <c r="E283" t="s">
        <v>13</v>
      </c>
      <c r="F283" t="s">
        <v>229</v>
      </c>
      <c r="G283">
        <v>100</v>
      </c>
      <c r="H283" t="s">
        <v>14</v>
      </c>
      <c r="I283" t="s">
        <v>233</v>
      </c>
      <c r="J283">
        <v>800000</v>
      </c>
      <c r="K283">
        <v>10</v>
      </c>
      <c r="L283">
        <f>VLOOKUP(Merge1[[#This Row],[제품코드]],공정중_우선순위[[제품코드]:[우선순위]],4,0)</f>
        <v>25</v>
      </c>
      <c r="M283" s="10" t="str">
        <f>_xlfn.TEXTJOIN(CHAR(10), TRUE, ,Merge1[[#This Row],[제품명]],Merge1[[#This Row],[오더번호]],Merge1[[#This Row],[제조번호]],Merge1[[#This Row],[지시수량]])</f>
        <v>아펜탈정100MG 반제품
1015426
A002901
800000</v>
      </c>
    </row>
    <row r="284" spans="1:13" ht="54" x14ac:dyDescent="0.25">
      <c r="A284" t="s">
        <v>200</v>
      </c>
      <c r="B284" t="s">
        <v>216</v>
      </c>
      <c r="C284" t="s">
        <v>230</v>
      </c>
      <c r="D284" t="s">
        <v>12</v>
      </c>
      <c r="E284" t="s">
        <v>13</v>
      </c>
      <c r="F284" t="s">
        <v>231</v>
      </c>
      <c r="G284">
        <v>100</v>
      </c>
      <c r="H284" t="s">
        <v>14</v>
      </c>
      <c r="I284" t="s">
        <v>233</v>
      </c>
      <c r="J284">
        <v>800000</v>
      </c>
      <c r="K284">
        <v>10</v>
      </c>
      <c r="L284">
        <f>VLOOKUP(Merge1[[#This Row],[제품코드]],공정중_우선순위[[제품코드]:[우선순위]],4,0)</f>
        <v>25</v>
      </c>
      <c r="M284" s="10" t="str">
        <f>_xlfn.TEXTJOIN(CHAR(10), TRUE, ,Merge1[[#This Row],[제품명]],Merge1[[#This Row],[오더번호]],Merge1[[#This Row],[제조번호]],Merge1[[#This Row],[지시수량]])</f>
        <v>아펜탈정100MG 반제품
1015427
A002902
800000</v>
      </c>
    </row>
    <row r="285" spans="1:13" ht="54" x14ac:dyDescent="0.25">
      <c r="A285" t="s">
        <v>200</v>
      </c>
      <c r="B285" t="s">
        <v>216</v>
      </c>
      <c r="C285" t="s">
        <v>217</v>
      </c>
      <c r="D285" t="s">
        <v>12</v>
      </c>
      <c r="E285" t="s">
        <v>13</v>
      </c>
      <c r="F285" t="s">
        <v>218</v>
      </c>
      <c r="G285">
        <v>100</v>
      </c>
      <c r="H285" t="s">
        <v>14</v>
      </c>
      <c r="I285" t="s">
        <v>233</v>
      </c>
      <c r="J285">
        <v>800000</v>
      </c>
      <c r="K285">
        <v>10</v>
      </c>
      <c r="L285">
        <f>VLOOKUP(Merge1[[#This Row],[제품코드]],공정중_우선순위[[제품코드]:[우선순위]],4,0)</f>
        <v>25</v>
      </c>
      <c r="M285" s="10" t="str">
        <f>_xlfn.TEXTJOIN(CHAR(10), TRUE, ,Merge1[[#This Row],[제품명]],Merge1[[#This Row],[오더번호]],Merge1[[#This Row],[제조번호]],Merge1[[#This Row],[지시수량]])</f>
        <v>아펜탈정100MG 반제품
1015698
A002979
800000</v>
      </c>
    </row>
    <row r="286" spans="1:13" ht="54" x14ac:dyDescent="0.25">
      <c r="A286" t="s">
        <v>200</v>
      </c>
      <c r="B286" t="s">
        <v>216</v>
      </c>
      <c r="C286" t="s">
        <v>220</v>
      </c>
      <c r="D286" t="s">
        <v>12</v>
      </c>
      <c r="E286" t="s">
        <v>13</v>
      </c>
      <c r="F286" t="s">
        <v>221</v>
      </c>
      <c r="G286">
        <v>100</v>
      </c>
      <c r="H286" t="s">
        <v>14</v>
      </c>
      <c r="I286" t="s">
        <v>233</v>
      </c>
      <c r="J286">
        <v>800000</v>
      </c>
      <c r="K286">
        <v>10</v>
      </c>
      <c r="L286">
        <f>VLOOKUP(Merge1[[#This Row],[제품코드]],공정중_우선순위[[제품코드]:[우선순위]],4,0)</f>
        <v>25</v>
      </c>
      <c r="M286" s="10" t="str">
        <f>_xlfn.TEXTJOIN(CHAR(10), TRUE, ,Merge1[[#This Row],[제품명]],Merge1[[#This Row],[오더번호]],Merge1[[#This Row],[제조번호]],Merge1[[#This Row],[지시수량]])</f>
        <v>아펜탈정100MG 반제품
1015699
A002980
800000</v>
      </c>
    </row>
    <row r="287" spans="1:13" ht="54" x14ac:dyDescent="0.25">
      <c r="A287" t="s">
        <v>200</v>
      </c>
      <c r="B287" t="s">
        <v>216</v>
      </c>
      <c r="C287" t="s">
        <v>223</v>
      </c>
      <c r="D287" t="s">
        <v>12</v>
      </c>
      <c r="E287" t="s">
        <v>13</v>
      </c>
      <c r="F287" t="s">
        <v>224</v>
      </c>
      <c r="G287">
        <v>110</v>
      </c>
      <c r="H287" t="s">
        <v>6</v>
      </c>
      <c r="I287" t="s">
        <v>234</v>
      </c>
      <c r="J287">
        <v>800000</v>
      </c>
      <c r="K287">
        <v>10</v>
      </c>
      <c r="L287">
        <f>VLOOKUP(Merge1[[#This Row],[제품코드]],공정중_우선순위[[제품코드]:[우선순위]],4,0)</f>
        <v>25</v>
      </c>
      <c r="M287" s="10" t="str">
        <f>_xlfn.TEXTJOIN(CHAR(10), TRUE, ,Merge1[[#This Row],[제품명]],Merge1[[#This Row],[오더번호]],Merge1[[#This Row],[제조번호]],Merge1[[#This Row],[지시수량]])</f>
        <v>아펜탈정100MG 반제품
1015217
A002865
800000</v>
      </c>
    </row>
    <row r="288" spans="1:13" ht="54" x14ac:dyDescent="0.25">
      <c r="A288" t="s">
        <v>200</v>
      </c>
      <c r="B288" t="s">
        <v>216</v>
      </c>
      <c r="C288" t="s">
        <v>226</v>
      </c>
      <c r="D288" t="s">
        <v>12</v>
      </c>
      <c r="E288" t="s">
        <v>13</v>
      </c>
      <c r="F288" t="s">
        <v>227</v>
      </c>
      <c r="G288">
        <v>110</v>
      </c>
      <c r="H288" t="s">
        <v>6</v>
      </c>
      <c r="I288" t="s">
        <v>234</v>
      </c>
      <c r="J288">
        <v>800000</v>
      </c>
      <c r="K288">
        <v>10</v>
      </c>
      <c r="L288">
        <f>VLOOKUP(Merge1[[#This Row],[제품코드]],공정중_우선순위[[제품코드]:[우선순위]],4,0)</f>
        <v>25</v>
      </c>
      <c r="M288" s="10" t="str">
        <f>_xlfn.TEXTJOIN(CHAR(10), TRUE, ,Merge1[[#This Row],[제품명]],Merge1[[#This Row],[오더번호]],Merge1[[#This Row],[제조번호]],Merge1[[#This Row],[지시수량]])</f>
        <v>아펜탈정100MG 반제품
1015218
A002866
800000</v>
      </c>
    </row>
    <row r="289" spans="1:13" ht="54" x14ac:dyDescent="0.25">
      <c r="A289" t="s">
        <v>200</v>
      </c>
      <c r="B289" t="s">
        <v>216</v>
      </c>
      <c r="C289" t="s">
        <v>228</v>
      </c>
      <c r="D289" t="s">
        <v>12</v>
      </c>
      <c r="E289" t="s">
        <v>13</v>
      </c>
      <c r="F289" t="s">
        <v>229</v>
      </c>
      <c r="G289">
        <v>110</v>
      </c>
      <c r="H289" t="s">
        <v>6</v>
      </c>
      <c r="I289" t="s">
        <v>234</v>
      </c>
      <c r="J289">
        <v>800000</v>
      </c>
      <c r="K289">
        <v>10</v>
      </c>
      <c r="L289">
        <f>VLOOKUP(Merge1[[#This Row],[제품코드]],공정중_우선순위[[제품코드]:[우선순위]],4,0)</f>
        <v>25</v>
      </c>
      <c r="M289" s="10" t="str">
        <f>_xlfn.TEXTJOIN(CHAR(10), TRUE, ,Merge1[[#This Row],[제품명]],Merge1[[#This Row],[오더번호]],Merge1[[#This Row],[제조번호]],Merge1[[#This Row],[지시수량]])</f>
        <v>아펜탈정100MG 반제품
1015426
A002901
800000</v>
      </c>
    </row>
    <row r="290" spans="1:13" ht="54" x14ac:dyDescent="0.25">
      <c r="A290" t="s">
        <v>200</v>
      </c>
      <c r="B290" t="s">
        <v>216</v>
      </c>
      <c r="C290" t="s">
        <v>230</v>
      </c>
      <c r="D290" t="s">
        <v>12</v>
      </c>
      <c r="E290" t="s">
        <v>13</v>
      </c>
      <c r="F290" t="s">
        <v>231</v>
      </c>
      <c r="G290">
        <v>110</v>
      </c>
      <c r="H290" t="s">
        <v>6</v>
      </c>
      <c r="I290" t="s">
        <v>234</v>
      </c>
      <c r="J290">
        <v>800000</v>
      </c>
      <c r="K290">
        <v>10</v>
      </c>
      <c r="L290">
        <f>VLOOKUP(Merge1[[#This Row],[제품코드]],공정중_우선순위[[제품코드]:[우선순위]],4,0)</f>
        <v>25</v>
      </c>
      <c r="M290" s="10" t="str">
        <f>_xlfn.TEXTJOIN(CHAR(10), TRUE, ,Merge1[[#This Row],[제품명]],Merge1[[#This Row],[오더번호]],Merge1[[#This Row],[제조번호]],Merge1[[#This Row],[지시수량]])</f>
        <v>아펜탈정100MG 반제품
1015427
A002902
800000</v>
      </c>
    </row>
    <row r="291" spans="1:13" ht="54" x14ac:dyDescent="0.25">
      <c r="A291" t="s">
        <v>200</v>
      </c>
      <c r="B291" t="s">
        <v>216</v>
      </c>
      <c r="C291" t="s">
        <v>217</v>
      </c>
      <c r="D291" t="s">
        <v>12</v>
      </c>
      <c r="E291" t="s">
        <v>13</v>
      </c>
      <c r="F291" t="s">
        <v>218</v>
      </c>
      <c r="G291">
        <v>110</v>
      </c>
      <c r="H291" t="s">
        <v>6</v>
      </c>
      <c r="I291" t="s">
        <v>234</v>
      </c>
      <c r="J291">
        <v>800000</v>
      </c>
      <c r="K291">
        <v>10</v>
      </c>
      <c r="L291">
        <f>VLOOKUP(Merge1[[#This Row],[제품코드]],공정중_우선순위[[제품코드]:[우선순위]],4,0)</f>
        <v>25</v>
      </c>
      <c r="M291" s="10" t="str">
        <f>_xlfn.TEXTJOIN(CHAR(10), TRUE, ,Merge1[[#This Row],[제품명]],Merge1[[#This Row],[오더번호]],Merge1[[#This Row],[제조번호]],Merge1[[#This Row],[지시수량]])</f>
        <v>아펜탈정100MG 반제품
1015698
A002979
800000</v>
      </c>
    </row>
    <row r="292" spans="1:13" ht="54" x14ac:dyDescent="0.25">
      <c r="A292" t="s">
        <v>200</v>
      </c>
      <c r="B292" t="s">
        <v>216</v>
      </c>
      <c r="C292" t="s">
        <v>220</v>
      </c>
      <c r="D292" t="s">
        <v>12</v>
      </c>
      <c r="E292" t="s">
        <v>13</v>
      </c>
      <c r="F292" t="s">
        <v>221</v>
      </c>
      <c r="G292">
        <v>110</v>
      </c>
      <c r="H292" t="s">
        <v>6</v>
      </c>
      <c r="I292" t="s">
        <v>234</v>
      </c>
      <c r="J292">
        <v>800000</v>
      </c>
      <c r="K292">
        <v>10</v>
      </c>
      <c r="L292">
        <f>VLOOKUP(Merge1[[#This Row],[제품코드]],공정중_우선순위[[제품코드]:[우선순위]],4,0)</f>
        <v>25</v>
      </c>
      <c r="M292" s="10" t="str">
        <f>_xlfn.TEXTJOIN(CHAR(10), TRUE, ,Merge1[[#This Row],[제품명]],Merge1[[#This Row],[오더번호]],Merge1[[#This Row],[제조번호]],Merge1[[#This Row],[지시수량]])</f>
        <v>아펜탈정100MG 반제품
1015699
A002980
800000</v>
      </c>
    </row>
    <row r="293" spans="1:13" ht="67.5" x14ac:dyDescent="0.25">
      <c r="A293" t="s">
        <v>200</v>
      </c>
      <c r="B293" t="s">
        <v>216</v>
      </c>
      <c r="C293" t="s">
        <v>384</v>
      </c>
      <c r="D293" t="s">
        <v>58</v>
      </c>
      <c r="E293" t="s">
        <v>59</v>
      </c>
      <c r="F293" t="s">
        <v>385</v>
      </c>
      <c r="G293">
        <v>60</v>
      </c>
      <c r="H293" t="s">
        <v>5</v>
      </c>
      <c r="I293" t="s">
        <v>280</v>
      </c>
      <c r="J293">
        <v>800000</v>
      </c>
      <c r="K293">
        <v>27</v>
      </c>
      <c r="L293">
        <f>VLOOKUP(Merge1[[#This Row],[제품코드]],공정중_우선순위[[제품코드]:[우선순위]],4,0)</f>
        <v>26</v>
      </c>
      <c r="M293" s="10" t="str">
        <f>_xlfn.TEXTJOIN(CHAR(10), TRUE, ,Merge1[[#This Row],[제품명]],Merge1[[#This Row],[오더번호]],Merge1[[#This Row],[제조번호]],Merge1[[#This Row],[지시수량]])</f>
        <v>세클로낙정100MG 반제품 (종근당)
1015425
KG003
800000</v>
      </c>
    </row>
    <row r="294" spans="1:13" ht="67.5" x14ac:dyDescent="0.25">
      <c r="A294" t="s">
        <v>200</v>
      </c>
      <c r="B294" t="s">
        <v>216</v>
      </c>
      <c r="C294" t="s">
        <v>384</v>
      </c>
      <c r="D294" t="s">
        <v>58</v>
      </c>
      <c r="E294" t="s">
        <v>59</v>
      </c>
      <c r="F294" t="s">
        <v>385</v>
      </c>
      <c r="G294">
        <v>80</v>
      </c>
      <c r="H294" t="s">
        <v>9</v>
      </c>
      <c r="I294" t="s">
        <v>232</v>
      </c>
      <c r="J294">
        <v>800000</v>
      </c>
      <c r="K294">
        <v>18</v>
      </c>
      <c r="L294">
        <f>VLOOKUP(Merge1[[#This Row],[제품코드]],공정중_우선순위[[제품코드]:[우선순위]],4,0)</f>
        <v>26</v>
      </c>
      <c r="M294" s="10" t="str">
        <f>_xlfn.TEXTJOIN(CHAR(10), TRUE, ,Merge1[[#This Row],[제품명]],Merge1[[#This Row],[오더번호]],Merge1[[#This Row],[제조번호]],Merge1[[#This Row],[지시수량]])</f>
        <v>세클로낙정100MG 반제품 (종근당)
1015425
KG003
800000</v>
      </c>
    </row>
    <row r="295" spans="1:13" ht="67.5" x14ac:dyDescent="0.25">
      <c r="A295" t="s">
        <v>200</v>
      </c>
      <c r="B295" t="s">
        <v>216</v>
      </c>
      <c r="C295" t="s">
        <v>384</v>
      </c>
      <c r="D295" t="s">
        <v>58</v>
      </c>
      <c r="E295" t="s">
        <v>59</v>
      </c>
      <c r="F295" t="s">
        <v>385</v>
      </c>
      <c r="G295">
        <v>110</v>
      </c>
      <c r="H295" t="s">
        <v>6</v>
      </c>
      <c r="I295" t="s">
        <v>211</v>
      </c>
      <c r="J295">
        <v>800000</v>
      </c>
      <c r="K295">
        <v>10</v>
      </c>
      <c r="L295">
        <f>VLOOKUP(Merge1[[#This Row],[제품코드]],공정중_우선순위[[제품코드]:[우선순위]],4,0)</f>
        <v>26</v>
      </c>
      <c r="M295" s="10" t="str">
        <f>_xlfn.TEXTJOIN(CHAR(10), TRUE, ,Merge1[[#This Row],[제품명]],Merge1[[#This Row],[오더번호]],Merge1[[#This Row],[제조번호]],Merge1[[#This Row],[지시수량]])</f>
        <v>세클로낙정100MG 반제품 (종근당)
1015425
KG003
800000</v>
      </c>
    </row>
    <row r="296" spans="1:13" ht="54" x14ac:dyDescent="0.25">
      <c r="A296" t="s">
        <v>200</v>
      </c>
      <c r="B296" t="s">
        <v>235</v>
      </c>
      <c r="C296" t="s">
        <v>236</v>
      </c>
      <c r="D296" t="s">
        <v>15</v>
      </c>
      <c r="E296" t="s">
        <v>16</v>
      </c>
      <c r="F296" t="s">
        <v>237</v>
      </c>
      <c r="G296">
        <v>70</v>
      </c>
      <c r="H296" t="s">
        <v>10</v>
      </c>
      <c r="I296" t="s">
        <v>238</v>
      </c>
      <c r="J296">
        <v>1000000</v>
      </c>
      <c r="K296">
        <v>36</v>
      </c>
      <c r="L296">
        <f>VLOOKUP(Merge1[[#This Row],[제품코드]],공정중_우선순위[[제품코드]:[우선순위]],4,0)</f>
        <v>27</v>
      </c>
      <c r="M296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297" spans="1:13" ht="54" x14ac:dyDescent="0.25">
      <c r="A297" t="s">
        <v>200</v>
      </c>
      <c r="B297" t="s">
        <v>235</v>
      </c>
      <c r="C297" t="s">
        <v>236</v>
      </c>
      <c r="D297" t="s">
        <v>15</v>
      </c>
      <c r="E297" t="s">
        <v>16</v>
      </c>
      <c r="F297" t="s">
        <v>237</v>
      </c>
      <c r="G297">
        <v>70</v>
      </c>
      <c r="H297" t="s">
        <v>10</v>
      </c>
      <c r="I297" t="s">
        <v>238</v>
      </c>
      <c r="J297">
        <v>1000000</v>
      </c>
      <c r="K297">
        <v>36</v>
      </c>
      <c r="L297">
        <f>VLOOKUP(Merge1[[#This Row],[제품코드]],공정중_우선순위[[제품코드]:[우선순위]],4,0)</f>
        <v>27</v>
      </c>
      <c r="M297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298" spans="1:13" ht="54" x14ac:dyDescent="0.25">
      <c r="A298" t="s">
        <v>200</v>
      </c>
      <c r="B298" t="s">
        <v>235</v>
      </c>
      <c r="C298" t="s">
        <v>236</v>
      </c>
      <c r="D298" t="s">
        <v>15</v>
      </c>
      <c r="E298" t="s">
        <v>16</v>
      </c>
      <c r="F298" t="s">
        <v>237</v>
      </c>
      <c r="G298">
        <v>70</v>
      </c>
      <c r="H298" t="s">
        <v>10</v>
      </c>
      <c r="I298" t="s">
        <v>238</v>
      </c>
      <c r="J298">
        <v>1000000</v>
      </c>
      <c r="K298">
        <v>36</v>
      </c>
      <c r="L298">
        <f>VLOOKUP(Merge1[[#This Row],[제품코드]],공정중_우선순위[[제품코드]:[우선순위]],4,0)</f>
        <v>27</v>
      </c>
      <c r="M298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299" spans="1:13" ht="54" x14ac:dyDescent="0.25">
      <c r="A299" t="s">
        <v>200</v>
      </c>
      <c r="B299" t="s">
        <v>235</v>
      </c>
      <c r="C299" t="s">
        <v>239</v>
      </c>
      <c r="D299" t="s">
        <v>15</v>
      </c>
      <c r="E299" t="s">
        <v>16</v>
      </c>
      <c r="F299" t="s">
        <v>240</v>
      </c>
      <c r="G299">
        <v>70</v>
      </c>
      <c r="H299" t="s">
        <v>10</v>
      </c>
      <c r="I299" t="s">
        <v>238</v>
      </c>
      <c r="J299">
        <v>1000000</v>
      </c>
      <c r="K299">
        <v>36</v>
      </c>
      <c r="L299">
        <f>VLOOKUP(Merge1[[#This Row],[제품코드]],공정중_우선순위[[제품코드]:[우선순위]],4,0)</f>
        <v>27</v>
      </c>
      <c r="M299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00" spans="1:13" ht="54" x14ac:dyDescent="0.25">
      <c r="A300" t="s">
        <v>200</v>
      </c>
      <c r="B300" t="s">
        <v>235</v>
      </c>
      <c r="C300" t="s">
        <v>239</v>
      </c>
      <c r="D300" t="s">
        <v>15</v>
      </c>
      <c r="E300" t="s">
        <v>16</v>
      </c>
      <c r="F300" t="s">
        <v>240</v>
      </c>
      <c r="G300">
        <v>70</v>
      </c>
      <c r="H300" t="s">
        <v>10</v>
      </c>
      <c r="I300" t="s">
        <v>238</v>
      </c>
      <c r="J300">
        <v>1000000</v>
      </c>
      <c r="K300">
        <v>36</v>
      </c>
      <c r="L300">
        <f>VLOOKUP(Merge1[[#This Row],[제품코드]],공정중_우선순위[[제품코드]:[우선순위]],4,0)</f>
        <v>27</v>
      </c>
      <c r="M300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01" spans="1:13" ht="54" x14ac:dyDescent="0.25">
      <c r="A301" t="s">
        <v>200</v>
      </c>
      <c r="B301" t="s">
        <v>235</v>
      </c>
      <c r="C301" t="s">
        <v>239</v>
      </c>
      <c r="D301" t="s">
        <v>15</v>
      </c>
      <c r="E301" t="s">
        <v>16</v>
      </c>
      <c r="F301" t="s">
        <v>240</v>
      </c>
      <c r="G301">
        <v>70</v>
      </c>
      <c r="H301" t="s">
        <v>10</v>
      </c>
      <c r="I301" t="s">
        <v>238</v>
      </c>
      <c r="J301">
        <v>1000000</v>
      </c>
      <c r="K301">
        <v>36</v>
      </c>
      <c r="L301">
        <f>VLOOKUP(Merge1[[#This Row],[제품코드]],공정중_우선순위[[제품코드]:[우선순위]],4,0)</f>
        <v>27</v>
      </c>
      <c r="M301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02" spans="1:13" ht="54" x14ac:dyDescent="0.25">
      <c r="A302" t="s">
        <v>200</v>
      </c>
      <c r="B302" t="s">
        <v>235</v>
      </c>
      <c r="C302" t="s">
        <v>236</v>
      </c>
      <c r="D302" t="s">
        <v>15</v>
      </c>
      <c r="E302" t="s">
        <v>16</v>
      </c>
      <c r="F302" t="s">
        <v>237</v>
      </c>
      <c r="G302">
        <v>110</v>
      </c>
      <c r="H302" t="s">
        <v>6</v>
      </c>
      <c r="I302" t="s">
        <v>211</v>
      </c>
      <c r="J302">
        <v>1000000</v>
      </c>
      <c r="K302">
        <v>29</v>
      </c>
      <c r="L302">
        <f>VLOOKUP(Merge1[[#This Row],[제품코드]],공정중_우선순위[[제품코드]:[우선순위]],4,0)</f>
        <v>27</v>
      </c>
      <c r="M302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303" spans="1:13" ht="54" x14ac:dyDescent="0.25">
      <c r="A303" t="s">
        <v>200</v>
      </c>
      <c r="B303" t="s">
        <v>235</v>
      </c>
      <c r="C303" t="s">
        <v>236</v>
      </c>
      <c r="D303" t="s">
        <v>15</v>
      </c>
      <c r="E303" t="s">
        <v>16</v>
      </c>
      <c r="F303" t="s">
        <v>237</v>
      </c>
      <c r="G303">
        <v>110</v>
      </c>
      <c r="H303" t="s">
        <v>6</v>
      </c>
      <c r="I303" t="s">
        <v>211</v>
      </c>
      <c r="J303">
        <v>1000000</v>
      </c>
      <c r="K303">
        <v>29</v>
      </c>
      <c r="L303">
        <f>VLOOKUP(Merge1[[#This Row],[제품코드]],공정중_우선순위[[제품코드]:[우선순위]],4,0)</f>
        <v>27</v>
      </c>
      <c r="M303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304" spans="1:13" ht="54" x14ac:dyDescent="0.25">
      <c r="A304" t="s">
        <v>200</v>
      </c>
      <c r="B304" t="s">
        <v>235</v>
      </c>
      <c r="C304" t="s">
        <v>236</v>
      </c>
      <c r="D304" t="s">
        <v>15</v>
      </c>
      <c r="E304" t="s">
        <v>16</v>
      </c>
      <c r="F304" t="s">
        <v>237</v>
      </c>
      <c r="G304">
        <v>110</v>
      </c>
      <c r="H304" t="s">
        <v>6</v>
      </c>
      <c r="I304" t="s">
        <v>211</v>
      </c>
      <c r="J304">
        <v>1000000</v>
      </c>
      <c r="K304">
        <v>37</v>
      </c>
      <c r="L304">
        <f>VLOOKUP(Merge1[[#This Row],[제품코드]],공정중_우선순위[[제품코드]:[우선순위]],4,0)</f>
        <v>27</v>
      </c>
      <c r="M304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305" spans="1:13" ht="54" x14ac:dyDescent="0.25">
      <c r="A305" t="s">
        <v>200</v>
      </c>
      <c r="B305" t="s">
        <v>235</v>
      </c>
      <c r="C305" t="s">
        <v>239</v>
      </c>
      <c r="D305" t="s">
        <v>15</v>
      </c>
      <c r="E305" t="s">
        <v>16</v>
      </c>
      <c r="F305" t="s">
        <v>240</v>
      </c>
      <c r="G305">
        <v>110</v>
      </c>
      <c r="H305" t="s">
        <v>6</v>
      </c>
      <c r="I305" t="s">
        <v>211</v>
      </c>
      <c r="J305">
        <v>1000000</v>
      </c>
      <c r="K305">
        <v>29</v>
      </c>
      <c r="L305">
        <f>VLOOKUP(Merge1[[#This Row],[제품코드]],공정중_우선순위[[제품코드]:[우선순위]],4,0)</f>
        <v>27</v>
      </c>
      <c r="M305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06" spans="1:13" ht="54" x14ac:dyDescent="0.25">
      <c r="A306" t="s">
        <v>200</v>
      </c>
      <c r="B306" t="s">
        <v>235</v>
      </c>
      <c r="C306" t="s">
        <v>239</v>
      </c>
      <c r="D306" t="s">
        <v>15</v>
      </c>
      <c r="E306" t="s">
        <v>16</v>
      </c>
      <c r="F306" t="s">
        <v>240</v>
      </c>
      <c r="G306">
        <v>110</v>
      </c>
      <c r="H306" t="s">
        <v>6</v>
      </c>
      <c r="I306" t="s">
        <v>211</v>
      </c>
      <c r="J306">
        <v>1000000</v>
      </c>
      <c r="K306">
        <v>29</v>
      </c>
      <c r="L306">
        <f>VLOOKUP(Merge1[[#This Row],[제품코드]],공정중_우선순위[[제품코드]:[우선순위]],4,0)</f>
        <v>27</v>
      </c>
      <c r="M306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07" spans="1:13" ht="54" x14ac:dyDescent="0.25">
      <c r="A307" t="s">
        <v>200</v>
      </c>
      <c r="B307" t="s">
        <v>235</v>
      </c>
      <c r="C307" t="s">
        <v>239</v>
      </c>
      <c r="D307" t="s">
        <v>15</v>
      </c>
      <c r="E307" t="s">
        <v>16</v>
      </c>
      <c r="F307" t="s">
        <v>240</v>
      </c>
      <c r="G307">
        <v>110</v>
      </c>
      <c r="H307" t="s">
        <v>6</v>
      </c>
      <c r="I307" t="s">
        <v>211</v>
      </c>
      <c r="J307">
        <v>1000000</v>
      </c>
      <c r="K307">
        <v>37</v>
      </c>
      <c r="L307">
        <f>VLOOKUP(Merge1[[#This Row],[제품코드]],공정중_우선순위[[제품코드]:[우선순위]],4,0)</f>
        <v>27</v>
      </c>
      <c r="M307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08" spans="1:13" ht="54" x14ac:dyDescent="0.25">
      <c r="A308" t="s">
        <v>200</v>
      </c>
      <c r="B308" t="s">
        <v>235</v>
      </c>
      <c r="C308" t="s">
        <v>236</v>
      </c>
      <c r="D308" t="s">
        <v>15</v>
      </c>
      <c r="E308" t="s">
        <v>16</v>
      </c>
      <c r="F308" t="s">
        <v>237</v>
      </c>
      <c r="G308">
        <v>120</v>
      </c>
      <c r="H308" t="s">
        <v>11</v>
      </c>
      <c r="I308" t="s">
        <v>241</v>
      </c>
      <c r="J308">
        <v>1000000</v>
      </c>
      <c r="K308">
        <v>55</v>
      </c>
      <c r="L308">
        <f>VLOOKUP(Merge1[[#This Row],[제품코드]],공정중_우선순위[[제품코드]:[우선순위]],4,0)</f>
        <v>27</v>
      </c>
      <c r="M308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309" spans="1:13" ht="54" x14ac:dyDescent="0.25">
      <c r="A309" t="s">
        <v>200</v>
      </c>
      <c r="B309" t="s">
        <v>235</v>
      </c>
      <c r="C309" t="s">
        <v>236</v>
      </c>
      <c r="D309" t="s">
        <v>15</v>
      </c>
      <c r="E309" t="s">
        <v>16</v>
      </c>
      <c r="F309" t="s">
        <v>237</v>
      </c>
      <c r="G309">
        <v>120</v>
      </c>
      <c r="H309" t="s">
        <v>11</v>
      </c>
      <c r="I309" t="s">
        <v>241</v>
      </c>
      <c r="J309">
        <v>1000000</v>
      </c>
      <c r="K309">
        <v>55</v>
      </c>
      <c r="L309">
        <f>VLOOKUP(Merge1[[#This Row],[제품코드]],공정중_우선순위[[제품코드]:[우선순위]],4,0)</f>
        <v>27</v>
      </c>
      <c r="M309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310" spans="1:13" ht="54" x14ac:dyDescent="0.25">
      <c r="A310" t="s">
        <v>200</v>
      </c>
      <c r="B310" t="s">
        <v>235</v>
      </c>
      <c r="C310" t="s">
        <v>236</v>
      </c>
      <c r="D310" t="s">
        <v>15</v>
      </c>
      <c r="E310" t="s">
        <v>16</v>
      </c>
      <c r="F310" t="s">
        <v>237</v>
      </c>
      <c r="G310">
        <v>120</v>
      </c>
      <c r="H310" t="s">
        <v>11</v>
      </c>
      <c r="I310" t="s">
        <v>241</v>
      </c>
      <c r="J310">
        <v>1000000</v>
      </c>
      <c r="K310">
        <v>73</v>
      </c>
      <c r="L310">
        <f>VLOOKUP(Merge1[[#This Row],[제품코드]],공정중_우선순위[[제품코드]:[우선순위]],4,0)</f>
        <v>27</v>
      </c>
      <c r="M310" s="10" t="str">
        <f>_xlfn.TEXTJOIN(CHAR(10), TRUE, ,Merge1[[#This Row],[제품명]],Merge1[[#This Row],[오더번호]],Merge1[[#This Row],[제조번호]],Merge1[[#This Row],[지시수량]])</f>
        <v>안탁스캡슐180MG 반제품
1015460
A002910
1000000</v>
      </c>
    </row>
    <row r="311" spans="1:13" ht="54" x14ac:dyDescent="0.25">
      <c r="A311" t="s">
        <v>200</v>
      </c>
      <c r="B311" t="s">
        <v>235</v>
      </c>
      <c r="C311" t="s">
        <v>239</v>
      </c>
      <c r="D311" t="s">
        <v>15</v>
      </c>
      <c r="E311" t="s">
        <v>16</v>
      </c>
      <c r="F311" t="s">
        <v>240</v>
      </c>
      <c r="G311">
        <v>120</v>
      </c>
      <c r="H311" t="s">
        <v>11</v>
      </c>
      <c r="I311" t="s">
        <v>241</v>
      </c>
      <c r="J311">
        <v>1000000</v>
      </c>
      <c r="K311">
        <v>55</v>
      </c>
      <c r="L311">
        <f>VLOOKUP(Merge1[[#This Row],[제품코드]],공정중_우선순위[[제품코드]:[우선순위]],4,0)</f>
        <v>27</v>
      </c>
      <c r="M311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12" spans="1:13" ht="54" x14ac:dyDescent="0.25">
      <c r="A312" t="s">
        <v>200</v>
      </c>
      <c r="B312" t="s">
        <v>235</v>
      </c>
      <c r="C312" t="s">
        <v>239</v>
      </c>
      <c r="D312" t="s">
        <v>15</v>
      </c>
      <c r="E312" t="s">
        <v>16</v>
      </c>
      <c r="F312" t="s">
        <v>240</v>
      </c>
      <c r="G312">
        <v>120</v>
      </c>
      <c r="H312" t="s">
        <v>11</v>
      </c>
      <c r="I312" t="s">
        <v>241</v>
      </c>
      <c r="J312">
        <v>1000000</v>
      </c>
      <c r="K312">
        <v>55</v>
      </c>
      <c r="L312">
        <f>VLOOKUP(Merge1[[#This Row],[제품코드]],공정중_우선순위[[제품코드]:[우선순위]],4,0)</f>
        <v>27</v>
      </c>
      <c r="M312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13" spans="1:13" ht="54" x14ac:dyDescent="0.25">
      <c r="A313" t="s">
        <v>200</v>
      </c>
      <c r="B313" t="s">
        <v>235</v>
      </c>
      <c r="C313" t="s">
        <v>239</v>
      </c>
      <c r="D313" t="s">
        <v>15</v>
      </c>
      <c r="E313" t="s">
        <v>16</v>
      </c>
      <c r="F313" t="s">
        <v>240</v>
      </c>
      <c r="G313">
        <v>120</v>
      </c>
      <c r="H313" t="s">
        <v>11</v>
      </c>
      <c r="I313" t="s">
        <v>241</v>
      </c>
      <c r="J313">
        <v>1000000</v>
      </c>
      <c r="K313">
        <v>73</v>
      </c>
      <c r="L313">
        <f>VLOOKUP(Merge1[[#This Row],[제품코드]],공정중_우선순위[[제품코드]:[우선순위]],4,0)</f>
        <v>27</v>
      </c>
      <c r="M313" s="10" t="str">
        <f>_xlfn.TEXTJOIN(CHAR(10), TRUE, ,Merge1[[#This Row],[제품명]],Merge1[[#This Row],[오더번호]],Merge1[[#This Row],[제조번호]],Merge1[[#This Row],[지시수량]])</f>
        <v>안탁스캡슐180MG 반제품
1015461
A002911
1000000</v>
      </c>
    </row>
    <row r="314" spans="1:13" ht="67.5" x14ac:dyDescent="0.25">
      <c r="A314" t="s">
        <v>200</v>
      </c>
      <c r="B314" t="s">
        <v>317</v>
      </c>
      <c r="C314" t="s">
        <v>394</v>
      </c>
      <c r="D314" t="s">
        <v>66</v>
      </c>
      <c r="E314" t="s">
        <v>67</v>
      </c>
      <c r="F314" t="s">
        <v>395</v>
      </c>
      <c r="G314">
        <v>60</v>
      </c>
      <c r="H314" t="s">
        <v>5</v>
      </c>
      <c r="I314" t="s">
        <v>396</v>
      </c>
      <c r="J314">
        <v>800000</v>
      </c>
      <c r="K314">
        <v>20</v>
      </c>
      <c r="L314">
        <f>VLOOKUP(Merge1[[#This Row],[제품코드]],공정중_우선순위[[제품코드]:[우선순위]],4,0)</f>
        <v>28</v>
      </c>
      <c r="M314" s="10" t="str">
        <f>_xlfn.TEXTJOIN(CHAR(10), TRUE, ,Merge1[[#This Row],[제품명]],Merge1[[#This Row],[오더번호]],Merge1[[#This Row],[제조번호]],Merge1[[#This Row],[지시수량]])</f>
        <v>네렉손서방정75MG 반제품 (대원제약)
1015553
25017
800000</v>
      </c>
    </row>
    <row r="315" spans="1:13" ht="67.5" x14ac:dyDescent="0.25">
      <c r="A315" t="s">
        <v>200</v>
      </c>
      <c r="B315" t="s">
        <v>317</v>
      </c>
      <c r="C315" t="s">
        <v>397</v>
      </c>
      <c r="D315" t="s">
        <v>66</v>
      </c>
      <c r="E315" t="s">
        <v>67</v>
      </c>
      <c r="F315" t="s">
        <v>398</v>
      </c>
      <c r="G315">
        <v>60</v>
      </c>
      <c r="H315" t="s">
        <v>5</v>
      </c>
      <c r="I315" t="s">
        <v>396</v>
      </c>
      <c r="J315">
        <v>800000</v>
      </c>
      <c r="K315">
        <v>20</v>
      </c>
      <c r="L315">
        <f>VLOOKUP(Merge1[[#This Row],[제품코드]],공정중_우선순위[[제품코드]:[우선순위]],4,0)</f>
        <v>28</v>
      </c>
      <c r="M315" s="10" t="str">
        <f>_xlfn.TEXTJOIN(CHAR(10), TRUE, ,Merge1[[#This Row],[제품명]],Merge1[[#This Row],[오더번호]],Merge1[[#This Row],[제조번호]],Merge1[[#This Row],[지시수량]])</f>
        <v>네렉손서방정75MG 반제품 (대원제약)
1015554
25018
800000</v>
      </c>
    </row>
    <row r="316" spans="1:13" ht="67.5" x14ac:dyDescent="0.25">
      <c r="A316" t="s">
        <v>200</v>
      </c>
      <c r="B316" t="s">
        <v>317</v>
      </c>
      <c r="C316" t="s">
        <v>399</v>
      </c>
      <c r="D316" t="s">
        <v>66</v>
      </c>
      <c r="E316" t="s">
        <v>67</v>
      </c>
      <c r="F316" t="s">
        <v>400</v>
      </c>
      <c r="G316">
        <v>60</v>
      </c>
      <c r="H316" t="s">
        <v>5</v>
      </c>
      <c r="I316" t="s">
        <v>396</v>
      </c>
      <c r="J316">
        <v>800000</v>
      </c>
      <c r="K316">
        <v>20</v>
      </c>
      <c r="L316">
        <f>VLOOKUP(Merge1[[#This Row],[제품코드]],공정중_우선순위[[제품코드]:[우선순위]],4,0)</f>
        <v>28</v>
      </c>
      <c r="M316" s="10" t="str">
        <f>_xlfn.TEXTJOIN(CHAR(10), TRUE, ,Merge1[[#This Row],[제품명]],Merge1[[#This Row],[오더번호]],Merge1[[#This Row],[제조번호]],Merge1[[#This Row],[지시수량]])</f>
        <v>네렉손서방정75MG 반제품 (대원제약)
1015555
25019
800000</v>
      </c>
    </row>
    <row r="317" spans="1:13" ht="67.5" x14ac:dyDescent="0.25">
      <c r="A317" t="s">
        <v>200</v>
      </c>
      <c r="B317" t="s">
        <v>317</v>
      </c>
      <c r="C317" t="s">
        <v>394</v>
      </c>
      <c r="D317" t="s">
        <v>66</v>
      </c>
      <c r="E317" t="s">
        <v>67</v>
      </c>
      <c r="F317" t="s">
        <v>395</v>
      </c>
      <c r="G317">
        <v>80</v>
      </c>
      <c r="H317" t="s">
        <v>9</v>
      </c>
      <c r="I317" t="s">
        <v>327</v>
      </c>
      <c r="J317">
        <v>800000</v>
      </c>
      <c r="K317">
        <v>13</v>
      </c>
      <c r="L317">
        <f>VLOOKUP(Merge1[[#This Row],[제품코드]],공정중_우선순위[[제품코드]:[우선순위]],4,0)</f>
        <v>28</v>
      </c>
      <c r="M317" s="10" t="str">
        <f>_xlfn.TEXTJOIN(CHAR(10), TRUE, ,Merge1[[#This Row],[제품명]],Merge1[[#This Row],[오더번호]],Merge1[[#This Row],[제조번호]],Merge1[[#This Row],[지시수량]])</f>
        <v>네렉손서방정75MG 반제품 (대원제약)
1015553
25017
800000</v>
      </c>
    </row>
    <row r="318" spans="1:13" ht="67.5" x14ac:dyDescent="0.25">
      <c r="A318" t="s">
        <v>200</v>
      </c>
      <c r="B318" t="s">
        <v>317</v>
      </c>
      <c r="C318" t="s">
        <v>397</v>
      </c>
      <c r="D318" t="s">
        <v>66</v>
      </c>
      <c r="E318" t="s">
        <v>67</v>
      </c>
      <c r="F318" t="s">
        <v>398</v>
      </c>
      <c r="G318">
        <v>80</v>
      </c>
      <c r="H318" t="s">
        <v>9</v>
      </c>
      <c r="I318" t="s">
        <v>327</v>
      </c>
      <c r="J318">
        <v>800000</v>
      </c>
      <c r="K318">
        <v>13</v>
      </c>
      <c r="L318">
        <f>VLOOKUP(Merge1[[#This Row],[제품코드]],공정중_우선순위[[제품코드]:[우선순위]],4,0)</f>
        <v>28</v>
      </c>
      <c r="M318" s="10" t="str">
        <f>_xlfn.TEXTJOIN(CHAR(10), TRUE, ,Merge1[[#This Row],[제품명]],Merge1[[#This Row],[오더번호]],Merge1[[#This Row],[제조번호]],Merge1[[#This Row],[지시수량]])</f>
        <v>네렉손서방정75MG 반제품 (대원제약)
1015554
25018
800000</v>
      </c>
    </row>
    <row r="319" spans="1:13" ht="67.5" x14ac:dyDescent="0.25">
      <c r="A319" t="s">
        <v>200</v>
      </c>
      <c r="B319" t="s">
        <v>317</v>
      </c>
      <c r="C319" t="s">
        <v>399</v>
      </c>
      <c r="D319" t="s">
        <v>66</v>
      </c>
      <c r="E319" t="s">
        <v>67</v>
      </c>
      <c r="F319" t="s">
        <v>400</v>
      </c>
      <c r="G319">
        <v>80</v>
      </c>
      <c r="H319" t="s">
        <v>9</v>
      </c>
      <c r="I319" t="s">
        <v>327</v>
      </c>
      <c r="J319">
        <v>800000</v>
      </c>
      <c r="K319">
        <v>13</v>
      </c>
      <c r="L319">
        <f>VLOOKUP(Merge1[[#This Row],[제품코드]],공정중_우선순위[[제품코드]:[우선순위]],4,0)</f>
        <v>28</v>
      </c>
      <c r="M319" s="10" t="str">
        <f>_xlfn.TEXTJOIN(CHAR(10), TRUE, ,Merge1[[#This Row],[제품명]],Merge1[[#This Row],[오더번호]],Merge1[[#This Row],[제조번호]],Merge1[[#This Row],[지시수량]])</f>
        <v>네렉손서방정75MG 반제품 (대원제약)
1015555
25019
800000</v>
      </c>
    </row>
    <row r="320" spans="1:13" ht="67.5" x14ac:dyDescent="0.25">
      <c r="A320" t="s">
        <v>200</v>
      </c>
      <c r="B320" t="s">
        <v>317</v>
      </c>
      <c r="C320" t="s">
        <v>394</v>
      </c>
      <c r="D320" t="s">
        <v>66</v>
      </c>
      <c r="E320" t="s">
        <v>67</v>
      </c>
      <c r="F320" t="s">
        <v>395</v>
      </c>
      <c r="G320">
        <v>100</v>
      </c>
      <c r="H320" t="s">
        <v>14</v>
      </c>
      <c r="I320" t="s">
        <v>233</v>
      </c>
      <c r="J320">
        <v>800000</v>
      </c>
      <c r="K320">
        <v>6</v>
      </c>
      <c r="L320">
        <f>VLOOKUP(Merge1[[#This Row],[제품코드]],공정중_우선순위[[제품코드]:[우선순위]],4,0)</f>
        <v>28</v>
      </c>
      <c r="M320" s="10" t="str">
        <f>_xlfn.TEXTJOIN(CHAR(10), TRUE, ,Merge1[[#This Row],[제품명]],Merge1[[#This Row],[오더번호]],Merge1[[#This Row],[제조번호]],Merge1[[#This Row],[지시수량]])</f>
        <v>네렉손서방정75MG 반제품 (대원제약)
1015553
25017
800000</v>
      </c>
    </row>
    <row r="321" spans="1:13" ht="67.5" x14ac:dyDescent="0.25">
      <c r="A321" t="s">
        <v>200</v>
      </c>
      <c r="B321" t="s">
        <v>317</v>
      </c>
      <c r="C321" t="s">
        <v>397</v>
      </c>
      <c r="D321" t="s">
        <v>66</v>
      </c>
      <c r="E321" t="s">
        <v>67</v>
      </c>
      <c r="F321" t="s">
        <v>398</v>
      </c>
      <c r="G321">
        <v>100</v>
      </c>
      <c r="H321" t="s">
        <v>14</v>
      </c>
      <c r="I321" t="s">
        <v>233</v>
      </c>
      <c r="J321">
        <v>800000</v>
      </c>
      <c r="K321">
        <v>6</v>
      </c>
      <c r="L321">
        <f>VLOOKUP(Merge1[[#This Row],[제품코드]],공정중_우선순위[[제품코드]:[우선순위]],4,0)</f>
        <v>28</v>
      </c>
      <c r="M321" s="10" t="str">
        <f>_xlfn.TEXTJOIN(CHAR(10), TRUE, ,Merge1[[#This Row],[제품명]],Merge1[[#This Row],[오더번호]],Merge1[[#This Row],[제조번호]],Merge1[[#This Row],[지시수량]])</f>
        <v>네렉손서방정75MG 반제품 (대원제약)
1015554
25018
800000</v>
      </c>
    </row>
    <row r="322" spans="1:13" ht="67.5" x14ac:dyDescent="0.25">
      <c r="A322" t="s">
        <v>200</v>
      </c>
      <c r="B322" t="s">
        <v>317</v>
      </c>
      <c r="C322" t="s">
        <v>399</v>
      </c>
      <c r="D322" t="s">
        <v>66</v>
      </c>
      <c r="E322" t="s">
        <v>67</v>
      </c>
      <c r="F322" t="s">
        <v>400</v>
      </c>
      <c r="G322">
        <v>100</v>
      </c>
      <c r="H322" t="s">
        <v>14</v>
      </c>
      <c r="I322" t="s">
        <v>233</v>
      </c>
      <c r="J322">
        <v>800000</v>
      </c>
      <c r="K322">
        <v>6</v>
      </c>
      <c r="L322">
        <f>VLOOKUP(Merge1[[#This Row],[제품코드]],공정중_우선순위[[제품코드]:[우선순위]],4,0)</f>
        <v>28</v>
      </c>
      <c r="M322" s="10" t="str">
        <f>_xlfn.TEXTJOIN(CHAR(10), TRUE, ,Merge1[[#This Row],[제품명]],Merge1[[#This Row],[오더번호]],Merge1[[#This Row],[제조번호]],Merge1[[#This Row],[지시수량]])</f>
        <v>네렉손서방정75MG 반제품 (대원제약)
1015555
25019
800000</v>
      </c>
    </row>
    <row r="323" spans="1:13" ht="67.5" x14ac:dyDescent="0.25">
      <c r="A323" t="s">
        <v>200</v>
      </c>
      <c r="B323" t="s">
        <v>317</v>
      </c>
      <c r="C323" t="s">
        <v>394</v>
      </c>
      <c r="D323" t="s">
        <v>66</v>
      </c>
      <c r="E323" t="s">
        <v>67</v>
      </c>
      <c r="F323" t="s">
        <v>395</v>
      </c>
      <c r="G323">
        <v>110</v>
      </c>
      <c r="H323" t="s">
        <v>6</v>
      </c>
      <c r="I323" t="s">
        <v>215</v>
      </c>
      <c r="J323">
        <v>800000</v>
      </c>
      <c r="K323">
        <v>6</v>
      </c>
      <c r="L323">
        <f>VLOOKUP(Merge1[[#This Row],[제품코드]],공정중_우선순위[[제품코드]:[우선순위]],4,0)</f>
        <v>28</v>
      </c>
      <c r="M323" s="10" t="str">
        <f>_xlfn.TEXTJOIN(CHAR(10), TRUE, ,Merge1[[#This Row],[제품명]],Merge1[[#This Row],[오더번호]],Merge1[[#This Row],[제조번호]],Merge1[[#This Row],[지시수량]])</f>
        <v>네렉손서방정75MG 반제품 (대원제약)
1015553
25017
800000</v>
      </c>
    </row>
    <row r="324" spans="1:13" ht="67.5" x14ac:dyDescent="0.25">
      <c r="A324" t="s">
        <v>200</v>
      </c>
      <c r="B324" t="s">
        <v>317</v>
      </c>
      <c r="C324" t="s">
        <v>397</v>
      </c>
      <c r="D324" t="s">
        <v>66</v>
      </c>
      <c r="E324" t="s">
        <v>67</v>
      </c>
      <c r="F324" t="s">
        <v>398</v>
      </c>
      <c r="G324">
        <v>110</v>
      </c>
      <c r="H324" t="s">
        <v>6</v>
      </c>
      <c r="I324" t="s">
        <v>215</v>
      </c>
      <c r="J324">
        <v>800000</v>
      </c>
      <c r="K324">
        <v>6</v>
      </c>
      <c r="L324">
        <f>VLOOKUP(Merge1[[#This Row],[제품코드]],공정중_우선순위[[제품코드]:[우선순위]],4,0)</f>
        <v>28</v>
      </c>
      <c r="M324" s="10" t="str">
        <f>_xlfn.TEXTJOIN(CHAR(10), TRUE, ,Merge1[[#This Row],[제품명]],Merge1[[#This Row],[오더번호]],Merge1[[#This Row],[제조번호]],Merge1[[#This Row],[지시수량]])</f>
        <v>네렉손서방정75MG 반제품 (대원제약)
1015554
25018
800000</v>
      </c>
    </row>
    <row r="325" spans="1:13" ht="67.5" x14ac:dyDescent="0.25">
      <c r="A325" t="s">
        <v>200</v>
      </c>
      <c r="B325" t="s">
        <v>317</v>
      </c>
      <c r="C325" t="s">
        <v>399</v>
      </c>
      <c r="D325" t="s">
        <v>66</v>
      </c>
      <c r="E325" t="s">
        <v>67</v>
      </c>
      <c r="F325" t="s">
        <v>400</v>
      </c>
      <c r="G325">
        <v>110</v>
      </c>
      <c r="H325" t="s">
        <v>6</v>
      </c>
      <c r="I325" t="s">
        <v>215</v>
      </c>
      <c r="J325">
        <v>800000</v>
      </c>
      <c r="K325">
        <v>6</v>
      </c>
      <c r="L325">
        <f>VLOOKUP(Merge1[[#This Row],[제품코드]],공정중_우선순위[[제품코드]:[우선순위]],4,0)</f>
        <v>28</v>
      </c>
      <c r="M325" s="10" t="str">
        <f>_xlfn.TEXTJOIN(CHAR(10), TRUE, ,Merge1[[#This Row],[제품명]],Merge1[[#This Row],[오더번호]],Merge1[[#This Row],[제조번호]],Merge1[[#This Row],[지시수량]])</f>
        <v>네렉손서방정75MG 반제품 (대원제약)
1015555
25019
800000</v>
      </c>
    </row>
    <row r="326" spans="1:13" ht="67.5" x14ac:dyDescent="0.25">
      <c r="A326" t="s">
        <v>200</v>
      </c>
      <c r="B326" t="s">
        <v>317</v>
      </c>
      <c r="C326" t="s">
        <v>539</v>
      </c>
      <c r="D326" t="s">
        <v>120</v>
      </c>
      <c r="E326" t="s">
        <v>121</v>
      </c>
      <c r="F326" t="s">
        <v>540</v>
      </c>
      <c r="G326">
        <v>60</v>
      </c>
      <c r="H326" t="s">
        <v>5</v>
      </c>
      <c r="I326" t="s">
        <v>320</v>
      </c>
      <c r="J326">
        <v>800000</v>
      </c>
      <c r="K326">
        <v>20</v>
      </c>
      <c r="L326">
        <f>VLOOKUP(Merge1[[#This Row],[제품코드]],공정중_우선순위[[제품코드]:[우선순위]],4,0)</f>
        <v>29</v>
      </c>
      <c r="M326" s="10" t="str">
        <f>_xlfn.TEXTJOIN(CHAR(10), TRUE, ,Merge1[[#This Row],[제품명]],Merge1[[#This Row],[오더번호]],Merge1[[#This Row],[제조번호]],Merge1[[#This Row],[지시수량]])</f>
        <v>대웅바이오에페리손서방정75MG 반제품(대웅바이오)
1015278
25EP7003
800000</v>
      </c>
    </row>
    <row r="327" spans="1:13" ht="67.5" x14ac:dyDescent="0.25">
      <c r="A327" t="s">
        <v>200</v>
      </c>
      <c r="B327" t="s">
        <v>317</v>
      </c>
      <c r="C327" t="s">
        <v>541</v>
      </c>
      <c r="D327" t="s">
        <v>120</v>
      </c>
      <c r="E327" t="s">
        <v>121</v>
      </c>
      <c r="F327" t="s">
        <v>542</v>
      </c>
      <c r="G327">
        <v>60</v>
      </c>
      <c r="H327" t="s">
        <v>5</v>
      </c>
      <c r="I327" t="s">
        <v>320</v>
      </c>
      <c r="J327">
        <v>800000</v>
      </c>
      <c r="K327">
        <v>20</v>
      </c>
      <c r="L327">
        <f>VLOOKUP(Merge1[[#This Row],[제품코드]],공정중_우선순위[[제품코드]:[우선순위]],4,0)</f>
        <v>29</v>
      </c>
      <c r="M327" s="10" t="str">
        <f>_xlfn.TEXTJOIN(CHAR(10), TRUE, ,Merge1[[#This Row],[제품명]],Merge1[[#This Row],[오더번호]],Merge1[[#This Row],[제조번호]],Merge1[[#This Row],[지시수량]])</f>
        <v>대웅바이오에페리손서방정75MG 반제품(대웅바이오)
1015332
25EP7004
800000</v>
      </c>
    </row>
    <row r="328" spans="1:13" ht="67.5" x14ac:dyDescent="0.25">
      <c r="A328" t="s">
        <v>200</v>
      </c>
      <c r="B328" t="s">
        <v>317</v>
      </c>
      <c r="C328" t="s">
        <v>539</v>
      </c>
      <c r="D328" t="s">
        <v>120</v>
      </c>
      <c r="E328" t="s">
        <v>121</v>
      </c>
      <c r="F328" t="s">
        <v>540</v>
      </c>
      <c r="G328">
        <v>80</v>
      </c>
      <c r="H328" t="s">
        <v>9</v>
      </c>
      <c r="I328" t="s">
        <v>232</v>
      </c>
      <c r="J328">
        <v>800000</v>
      </c>
      <c r="K328">
        <v>13</v>
      </c>
      <c r="L328">
        <f>VLOOKUP(Merge1[[#This Row],[제품코드]],공정중_우선순위[[제품코드]:[우선순위]],4,0)</f>
        <v>29</v>
      </c>
      <c r="M328" s="10" t="str">
        <f>_xlfn.TEXTJOIN(CHAR(10), TRUE, ,Merge1[[#This Row],[제품명]],Merge1[[#This Row],[오더번호]],Merge1[[#This Row],[제조번호]],Merge1[[#This Row],[지시수량]])</f>
        <v>대웅바이오에페리손서방정75MG 반제품(대웅바이오)
1015278
25EP7003
800000</v>
      </c>
    </row>
    <row r="329" spans="1:13" ht="67.5" x14ac:dyDescent="0.25">
      <c r="A329" t="s">
        <v>200</v>
      </c>
      <c r="B329" t="s">
        <v>317</v>
      </c>
      <c r="C329" t="s">
        <v>541</v>
      </c>
      <c r="D329" t="s">
        <v>120</v>
      </c>
      <c r="E329" t="s">
        <v>121</v>
      </c>
      <c r="F329" t="s">
        <v>542</v>
      </c>
      <c r="G329">
        <v>80</v>
      </c>
      <c r="H329" t="s">
        <v>9</v>
      </c>
      <c r="I329" t="s">
        <v>232</v>
      </c>
      <c r="J329">
        <v>800000</v>
      </c>
      <c r="K329">
        <v>13</v>
      </c>
      <c r="L329">
        <f>VLOOKUP(Merge1[[#This Row],[제품코드]],공정중_우선순위[[제품코드]:[우선순위]],4,0)</f>
        <v>29</v>
      </c>
      <c r="M329" s="10" t="str">
        <f>_xlfn.TEXTJOIN(CHAR(10), TRUE, ,Merge1[[#This Row],[제품명]],Merge1[[#This Row],[오더번호]],Merge1[[#This Row],[제조번호]],Merge1[[#This Row],[지시수량]])</f>
        <v>대웅바이오에페리손서방정75MG 반제품(대웅바이오)
1015332
25EP7004
800000</v>
      </c>
    </row>
    <row r="330" spans="1:13" ht="67.5" x14ac:dyDescent="0.25">
      <c r="A330" t="s">
        <v>200</v>
      </c>
      <c r="B330" t="s">
        <v>317</v>
      </c>
      <c r="C330" t="s">
        <v>539</v>
      </c>
      <c r="D330" t="s">
        <v>120</v>
      </c>
      <c r="E330" t="s">
        <v>121</v>
      </c>
      <c r="F330" t="s">
        <v>540</v>
      </c>
      <c r="G330">
        <v>110</v>
      </c>
      <c r="H330" t="s">
        <v>6</v>
      </c>
      <c r="I330" t="s">
        <v>234</v>
      </c>
      <c r="J330">
        <v>800000</v>
      </c>
      <c r="K330">
        <v>6</v>
      </c>
      <c r="L330">
        <f>VLOOKUP(Merge1[[#This Row],[제품코드]],공정중_우선순위[[제품코드]:[우선순위]],4,0)</f>
        <v>29</v>
      </c>
      <c r="M330" s="10" t="str">
        <f>_xlfn.TEXTJOIN(CHAR(10), TRUE, ,Merge1[[#This Row],[제품명]],Merge1[[#This Row],[오더번호]],Merge1[[#This Row],[제조번호]],Merge1[[#This Row],[지시수량]])</f>
        <v>대웅바이오에페리손서방정75MG 반제품(대웅바이오)
1015278
25EP7003
800000</v>
      </c>
    </row>
    <row r="331" spans="1:13" ht="67.5" x14ac:dyDescent="0.25">
      <c r="A331" t="s">
        <v>200</v>
      </c>
      <c r="B331" t="s">
        <v>317</v>
      </c>
      <c r="C331" t="s">
        <v>541</v>
      </c>
      <c r="D331" t="s">
        <v>120</v>
      </c>
      <c r="E331" t="s">
        <v>121</v>
      </c>
      <c r="F331" t="s">
        <v>542</v>
      </c>
      <c r="G331">
        <v>110</v>
      </c>
      <c r="H331" t="s">
        <v>6</v>
      </c>
      <c r="I331" t="s">
        <v>234</v>
      </c>
      <c r="J331">
        <v>800000</v>
      </c>
      <c r="K331">
        <v>6</v>
      </c>
      <c r="L331">
        <f>VLOOKUP(Merge1[[#This Row],[제품코드]],공정중_우선순위[[제품코드]:[우선순위]],4,0)</f>
        <v>29</v>
      </c>
      <c r="M331" s="10" t="str">
        <f>_xlfn.TEXTJOIN(CHAR(10), TRUE, ,Merge1[[#This Row],[제품명]],Merge1[[#This Row],[오더번호]],Merge1[[#This Row],[제조번호]],Merge1[[#This Row],[지시수량]])</f>
        <v>대웅바이오에페리손서방정75MG 반제품(대웅바이오)
1015332
25EP7004
800000</v>
      </c>
    </row>
    <row r="332" spans="1:13" ht="67.5" x14ac:dyDescent="0.25">
      <c r="A332" t="s">
        <v>200</v>
      </c>
      <c r="B332" t="s">
        <v>317</v>
      </c>
      <c r="C332" t="s">
        <v>388</v>
      </c>
      <c r="D332" t="s">
        <v>62</v>
      </c>
      <c r="E332" t="s">
        <v>63</v>
      </c>
      <c r="F332" t="s">
        <v>389</v>
      </c>
      <c r="G332">
        <v>60</v>
      </c>
      <c r="H332" t="s">
        <v>5</v>
      </c>
      <c r="I332" t="s">
        <v>320</v>
      </c>
      <c r="J332">
        <v>800000</v>
      </c>
      <c r="K332">
        <v>20</v>
      </c>
      <c r="L332">
        <f>VLOOKUP(Merge1[[#This Row],[제품코드]],공정중_우선순위[[제품코드]:[우선순위]],4,0)</f>
        <v>30</v>
      </c>
      <c r="M332" s="10" t="str">
        <f>_xlfn.TEXTJOIN(CHAR(10), TRUE, ,Merge1[[#This Row],[제품명]],Merge1[[#This Row],[오더번호]],Merge1[[#This Row],[제조번호]],Merge1[[#This Row],[지시수량]])</f>
        <v>에페날서방정75MG 반제품 (동국제약)
1015333
25EPS0006
800000</v>
      </c>
    </row>
    <row r="333" spans="1:13" ht="67.5" x14ac:dyDescent="0.25">
      <c r="A333" t="s">
        <v>200</v>
      </c>
      <c r="B333" t="s">
        <v>317</v>
      </c>
      <c r="C333" t="s">
        <v>388</v>
      </c>
      <c r="D333" t="s">
        <v>62</v>
      </c>
      <c r="E333" t="s">
        <v>63</v>
      </c>
      <c r="F333" t="s">
        <v>389</v>
      </c>
      <c r="G333">
        <v>80</v>
      </c>
      <c r="H333" t="s">
        <v>9</v>
      </c>
      <c r="I333" t="s">
        <v>327</v>
      </c>
      <c r="J333">
        <v>800000</v>
      </c>
      <c r="K333">
        <v>13</v>
      </c>
      <c r="L333">
        <f>VLOOKUP(Merge1[[#This Row],[제품코드]],공정중_우선순위[[제품코드]:[우선순위]],4,0)</f>
        <v>30</v>
      </c>
      <c r="M333" s="10" t="str">
        <f>_xlfn.TEXTJOIN(CHAR(10), TRUE, ,Merge1[[#This Row],[제품명]],Merge1[[#This Row],[오더번호]],Merge1[[#This Row],[제조번호]],Merge1[[#This Row],[지시수량]])</f>
        <v>에페날서방정75MG 반제품 (동국제약)
1015333
25EPS0006
800000</v>
      </c>
    </row>
    <row r="334" spans="1:13" ht="67.5" x14ac:dyDescent="0.25">
      <c r="A334" t="s">
        <v>200</v>
      </c>
      <c r="B334" t="s">
        <v>317</v>
      </c>
      <c r="C334" t="s">
        <v>388</v>
      </c>
      <c r="D334" t="s">
        <v>62</v>
      </c>
      <c r="E334" t="s">
        <v>63</v>
      </c>
      <c r="F334" t="s">
        <v>389</v>
      </c>
      <c r="G334">
        <v>100</v>
      </c>
      <c r="H334" t="s">
        <v>14</v>
      </c>
      <c r="I334" t="s">
        <v>233</v>
      </c>
      <c r="J334">
        <v>800000</v>
      </c>
      <c r="K334">
        <v>6</v>
      </c>
      <c r="L334">
        <f>VLOOKUP(Merge1[[#This Row],[제품코드]],공정중_우선순위[[제품코드]:[우선순위]],4,0)</f>
        <v>30</v>
      </c>
      <c r="M334" s="10" t="str">
        <f>_xlfn.TEXTJOIN(CHAR(10), TRUE, ,Merge1[[#This Row],[제품명]],Merge1[[#This Row],[오더번호]],Merge1[[#This Row],[제조번호]],Merge1[[#This Row],[지시수량]])</f>
        <v>에페날서방정75MG 반제품 (동국제약)
1015333
25EPS0006
800000</v>
      </c>
    </row>
    <row r="335" spans="1:13" ht="67.5" x14ac:dyDescent="0.25">
      <c r="A335" t="s">
        <v>200</v>
      </c>
      <c r="B335" t="s">
        <v>317</v>
      </c>
      <c r="C335" t="s">
        <v>388</v>
      </c>
      <c r="D335" t="s">
        <v>62</v>
      </c>
      <c r="E335" t="s">
        <v>63</v>
      </c>
      <c r="F335" t="s">
        <v>389</v>
      </c>
      <c r="G335">
        <v>110</v>
      </c>
      <c r="H335" t="s">
        <v>6</v>
      </c>
      <c r="I335" t="s">
        <v>215</v>
      </c>
      <c r="J335">
        <v>800000</v>
      </c>
      <c r="K335">
        <v>6</v>
      </c>
      <c r="L335">
        <f>VLOOKUP(Merge1[[#This Row],[제품코드]],공정중_우선순위[[제품코드]:[우선순위]],4,0)</f>
        <v>30</v>
      </c>
      <c r="M335" s="10" t="str">
        <f>_xlfn.TEXTJOIN(CHAR(10), TRUE, ,Merge1[[#This Row],[제품명]],Merge1[[#This Row],[오더번호]],Merge1[[#This Row],[제조번호]],Merge1[[#This Row],[지시수량]])</f>
        <v>에페날서방정75MG 반제품 (동국제약)
1015333
25EPS0006
800000</v>
      </c>
    </row>
    <row r="336" spans="1:13" ht="54" x14ac:dyDescent="0.25">
      <c r="A336" t="s">
        <v>200</v>
      </c>
      <c r="B336" t="s">
        <v>317</v>
      </c>
      <c r="C336" t="s">
        <v>318</v>
      </c>
      <c r="D336" t="s">
        <v>36</v>
      </c>
      <c r="E336" t="s">
        <v>37</v>
      </c>
      <c r="F336" t="s">
        <v>319</v>
      </c>
      <c r="G336">
        <v>60</v>
      </c>
      <c r="H336" t="s">
        <v>5</v>
      </c>
      <c r="I336" t="s">
        <v>320</v>
      </c>
      <c r="J336">
        <v>800000</v>
      </c>
      <c r="K336">
        <v>20</v>
      </c>
      <c r="L336">
        <f>VLOOKUP(Merge1[[#This Row],[제품코드]],공정중_우선순위[[제품코드]:[우선순위]],4,0)</f>
        <v>31</v>
      </c>
      <c r="M336" s="10" t="str">
        <f>_xlfn.TEXTJOIN(CHAR(10), TRUE, ,Merge1[[#This Row],[제품명]],Merge1[[#This Row],[오더번호]],Merge1[[#This Row],[제조번호]],Merge1[[#This Row],[지시수량]])</f>
        <v>엑손SR정75MG 반제품
1015529
A002933
800000</v>
      </c>
    </row>
    <row r="337" spans="1:13" ht="54" x14ac:dyDescent="0.25">
      <c r="A337" t="s">
        <v>200</v>
      </c>
      <c r="B337" t="s">
        <v>317</v>
      </c>
      <c r="C337" t="s">
        <v>318</v>
      </c>
      <c r="D337" t="s">
        <v>36</v>
      </c>
      <c r="E337" t="s">
        <v>37</v>
      </c>
      <c r="F337" t="s">
        <v>319</v>
      </c>
      <c r="G337">
        <v>60</v>
      </c>
      <c r="H337" t="s">
        <v>5</v>
      </c>
      <c r="I337" t="s">
        <v>320</v>
      </c>
      <c r="J337">
        <v>800000</v>
      </c>
      <c r="K337">
        <v>20</v>
      </c>
      <c r="L337">
        <f>VLOOKUP(Merge1[[#This Row],[제품코드]],공정중_우선순위[[제품코드]:[우선순위]],4,0)</f>
        <v>31</v>
      </c>
      <c r="M337" s="10" t="str">
        <f>_xlfn.TEXTJOIN(CHAR(10), TRUE, ,Merge1[[#This Row],[제품명]],Merge1[[#This Row],[오더번호]],Merge1[[#This Row],[제조번호]],Merge1[[#This Row],[지시수량]])</f>
        <v>엑손SR정75MG 반제품
1015529
A002933
800000</v>
      </c>
    </row>
    <row r="338" spans="1:13" ht="54" x14ac:dyDescent="0.25">
      <c r="A338" t="s">
        <v>200</v>
      </c>
      <c r="B338" t="s">
        <v>317</v>
      </c>
      <c r="C338" t="s">
        <v>321</v>
      </c>
      <c r="D338" t="s">
        <v>36</v>
      </c>
      <c r="E338" t="s">
        <v>37</v>
      </c>
      <c r="F338" t="s">
        <v>322</v>
      </c>
      <c r="G338">
        <v>60</v>
      </c>
      <c r="H338" t="s">
        <v>5</v>
      </c>
      <c r="I338" t="s">
        <v>320</v>
      </c>
      <c r="J338">
        <v>800000</v>
      </c>
      <c r="K338">
        <v>20</v>
      </c>
      <c r="L338">
        <f>VLOOKUP(Merge1[[#This Row],[제품코드]],공정중_우선순위[[제품코드]:[우선순위]],4,0)</f>
        <v>31</v>
      </c>
      <c r="M338" s="10" t="str">
        <f>_xlfn.TEXTJOIN(CHAR(10), TRUE, ,Merge1[[#This Row],[제품명]],Merge1[[#This Row],[오더번호]],Merge1[[#This Row],[제조번호]],Merge1[[#This Row],[지시수량]])</f>
        <v>엑손SR정75MG 반제품
1015530
A002934
800000</v>
      </c>
    </row>
    <row r="339" spans="1:13" ht="54" x14ac:dyDescent="0.25">
      <c r="A339" t="s">
        <v>200</v>
      </c>
      <c r="B339" t="s">
        <v>317</v>
      </c>
      <c r="C339" t="s">
        <v>321</v>
      </c>
      <c r="D339" t="s">
        <v>36</v>
      </c>
      <c r="E339" t="s">
        <v>37</v>
      </c>
      <c r="F339" t="s">
        <v>322</v>
      </c>
      <c r="G339">
        <v>60</v>
      </c>
      <c r="H339" t="s">
        <v>5</v>
      </c>
      <c r="I339" t="s">
        <v>320</v>
      </c>
      <c r="J339">
        <v>800000</v>
      </c>
      <c r="K339">
        <v>20</v>
      </c>
      <c r="L339">
        <f>VLOOKUP(Merge1[[#This Row],[제품코드]],공정중_우선순위[[제품코드]:[우선순위]],4,0)</f>
        <v>31</v>
      </c>
      <c r="M339" s="10" t="str">
        <f>_xlfn.TEXTJOIN(CHAR(10), TRUE, ,Merge1[[#This Row],[제품명]],Merge1[[#This Row],[오더번호]],Merge1[[#This Row],[제조번호]],Merge1[[#This Row],[지시수량]])</f>
        <v>엑손SR정75MG 반제품
1015530
A002934
800000</v>
      </c>
    </row>
    <row r="340" spans="1:13" ht="54" x14ac:dyDescent="0.25">
      <c r="A340" t="s">
        <v>200</v>
      </c>
      <c r="B340" t="s">
        <v>317</v>
      </c>
      <c r="C340" t="s">
        <v>323</v>
      </c>
      <c r="D340" t="s">
        <v>36</v>
      </c>
      <c r="E340" t="s">
        <v>37</v>
      </c>
      <c r="F340" t="s">
        <v>324</v>
      </c>
      <c r="G340">
        <v>60</v>
      </c>
      <c r="H340" t="s">
        <v>5</v>
      </c>
      <c r="I340" t="s">
        <v>320</v>
      </c>
      <c r="J340">
        <v>800000</v>
      </c>
      <c r="K340">
        <v>20</v>
      </c>
      <c r="L340">
        <f>VLOOKUP(Merge1[[#This Row],[제품코드]],공정중_우선순위[[제품코드]:[우선순위]],4,0)</f>
        <v>31</v>
      </c>
      <c r="M340" s="10" t="str">
        <f>_xlfn.TEXTJOIN(CHAR(10), TRUE, ,Merge1[[#This Row],[제품명]],Merge1[[#This Row],[오더번호]],Merge1[[#This Row],[제조번호]],Merge1[[#This Row],[지시수량]])</f>
        <v>엑손SR정75MG 반제품
1015531
A002935
800000</v>
      </c>
    </row>
    <row r="341" spans="1:13" ht="54" x14ac:dyDescent="0.25">
      <c r="A341" t="s">
        <v>200</v>
      </c>
      <c r="B341" t="s">
        <v>317</v>
      </c>
      <c r="C341" t="s">
        <v>323</v>
      </c>
      <c r="D341" t="s">
        <v>36</v>
      </c>
      <c r="E341" t="s">
        <v>37</v>
      </c>
      <c r="F341" t="s">
        <v>324</v>
      </c>
      <c r="G341">
        <v>60</v>
      </c>
      <c r="H341" t="s">
        <v>5</v>
      </c>
      <c r="I341" t="s">
        <v>320</v>
      </c>
      <c r="J341">
        <v>800000</v>
      </c>
      <c r="K341">
        <v>20</v>
      </c>
      <c r="L341">
        <f>VLOOKUP(Merge1[[#This Row],[제품코드]],공정중_우선순위[[제품코드]:[우선순위]],4,0)</f>
        <v>31</v>
      </c>
      <c r="M341" s="10" t="str">
        <f>_xlfn.TEXTJOIN(CHAR(10), TRUE, ,Merge1[[#This Row],[제품명]],Merge1[[#This Row],[오더번호]],Merge1[[#This Row],[제조번호]],Merge1[[#This Row],[지시수량]])</f>
        <v>엑손SR정75MG 반제품
1015531
A002935
800000</v>
      </c>
    </row>
    <row r="342" spans="1:13" ht="54" x14ac:dyDescent="0.25">
      <c r="A342" t="s">
        <v>200</v>
      </c>
      <c r="B342" t="s">
        <v>317</v>
      </c>
      <c r="C342" t="s">
        <v>325</v>
      </c>
      <c r="D342" t="s">
        <v>36</v>
      </c>
      <c r="E342" t="s">
        <v>37</v>
      </c>
      <c r="F342" t="s">
        <v>326</v>
      </c>
      <c r="G342">
        <v>60</v>
      </c>
      <c r="H342" t="s">
        <v>5</v>
      </c>
      <c r="I342" t="s">
        <v>320</v>
      </c>
      <c r="J342">
        <v>800000</v>
      </c>
      <c r="K342">
        <v>20</v>
      </c>
      <c r="L342">
        <f>VLOOKUP(Merge1[[#This Row],[제품코드]],공정중_우선순위[[제품코드]:[우선순위]],4,0)</f>
        <v>31</v>
      </c>
      <c r="M342" s="10" t="str">
        <f>_xlfn.TEXTJOIN(CHAR(10), TRUE, ,Merge1[[#This Row],[제품명]],Merge1[[#This Row],[오더번호]],Merge1[[#This Row],[제조번호]],Merge1[[#This Row],[지시수량]])</f>
        <v>엑손SR정75MG 반제품
1015532
A002936
800000</v>
      </c>
    </row>
    <row r="343" spans="1:13" ht="54" x14ac:dyDescent="0.25">
      <c r="A343" t="s">
        <v>200</v>
      </c>
      <c r="B343" t="s">
        <v>317</v>
      </c>
      <c r="C343" t="s">
        <v>325</v>
      </c>
      <c r="D343" t="s">
        <v>36</v>
      </c>
      <c r="E343" t="s">
        <v>37</v>
      </c>
      <c r="F343" t="s">
        <v>326</v>
      </c>
      <c r="G343">
        <v>60</v>
      </c>
      <c r="H343" t="s">
        <v>5</v>
      </c>
      <c r="I343" t="s">
        <v>320</v>
      </c>
      <c r="J343">
        <v>800000</v>
      </c>
      <c r="K343">
        <v>20</v>
      </c>
      <c r="L343">
        <f>VLOOKUP(Merge1[[#This Row],[제품코드]],공정중_우선순위[[제품코드]:[우선순위]],4,0)</f>
        <v>31</v>
      </c>
      <c r="M343" s="10" t="str">
        <f>_xlfn.TEXTJOIN(CHAR(10), TRUE, ,Merge1[[#This Row],[제품명]],Merge1[[#This Row],[오더번호]],Merge1[[#This Row],[제조번호]],Merge1[[#This Row],[지시수량]])</f>
        <v>엑손SR정75MG 반제품
1015532
A002936
800000</v>
      </c>
    </row>
    <row r="344" spans="1:13" ht="54" x14ac:dyDescent="0.25">
      <c r="A344" t="s">
        <v>200</v>
      </c>
      <c r="B344" t="s">
        <v>317</v>
      </c>
      <c r="C344" t="s">
        <v>318</v>
      </c>
      <c r="D344" t="s">
        <v>36</v>
      </c>
      <c r="E344" t="s">
        <v>37</v>
      </c>
      <c r="F344" t="s">
        <v>319</v>
      </c>
      <c r="G344">
        <v>80</v>
      </c>
      <c r="H344" t="s">
        <v>9</v>
      </c>
      <c r="I344" t="s">
        <v>327</v>
      </c>
      <c r="J344">
        <v>800000</v>
      </c>
      <c r="K344">
        <v>13</v>
      </c>
      <c r="L344">
        <f>VLOOKUP(Merge1[[#This Row],[제품코드]],공정중_우선순위[[제품코드]:[우선순위]],4,0)</f>
        <v>31</v>
      </c>
      <c r="M344" s="10" t="str">
        <f>_xlfn.TEXTJOIN(CHAR(10), TRUE, ,Merge1[[#This Row],[제품명]],Merge1[[#This Row],[오더번호]],Merge1[[#This Row],[제조번호]],Merge1[[#This Row],[지시수량]])</f>
        <v>엑손SR정75MG 반제품
1015529
A002933
800000</v>
      </c>
    </row>
    <row r="345" spans="1:13" ht="54" x14ac:dyDescent="0.25">
      <c r="A345" t="s">
        <v>200</v>
      </c>
      <c r="B345" t="s">
        <v>317</v>
      </c>
      <c r="C345" t="s">
        <v>318</v>
      </c>
      <c r="D345" t="s">
        <v>36</v>
      </c>
      <c r="E345" t="s">
        <v>37</v>
      </c>
      <c r="F345" t="s">
        <v>319</v>
      </c>
      <c r="G345">
        <v>80</v>
      </c>
      <c r="H345" t="s">
        <v>9</v>
      </c>
      <c r="I345" t="s">
        <v>327</v>
      </c>
      <c r="J345">
        <v>800000</v>
      </c>
      <c r="K345">
        <v>13</v>
      </c>
      <c r="L345">
        <f>VLOOKUP(Merge1[[#This Row],[제품코드]],공정중_우선순위[[제품코드]:[우선순위]],4,0)</f>
        <v>31</v>
      </c>
      <c r="M345" s="10" t="str">
        <f>_xlfn.TEXTJOIN(CHAR(10), TRUE, ,Merge1[[#This Row],[제품명]],Merge1[[#This Row],[오더번호]],Merge1[[#This Row],[제조번호]],Merge1[[#This Row],[지시수량]])</f>
        <v>엑손SR정75MG 반제품
1015529
A002933
800000</v>
      </c>
    </row>
    <row r="346" spans="1:13" ht="54" x14ac:dyDescent="0.25">
      <c r="A346" t="s">
        <v>200</v>
      </c>
      <c r="B346" t="s">
        <v>317</v>
      </c>
      <c r="C346" t="s">
        <v>321</v>
      </c>
      <c r="D346" t="s">
        <v>36</v>
      </c>
      <c r="E346" t="s">
        <v>37</v>
      </c>
      <c r="F346" t="s">
        <v>322</v>
      </c>
      <c r="G346">
        <v>80</v>
      </c>
      <c r="H346" t="s">
        <v>9</v>
      </c>
      <c r="I346" t="s">
        <v>327</v>
      </c>
      <c r="J346">
        <v>800000</v>
      </c>
      <c r="K346">
        <v>13</v>
      </c>
      <c r="L346">
        <f>VLOOKUP(Merge1[[#This Row],[제품코드]],공정중_우선순위[[제품코드]:[우선순위]],4,0)</f>
        <v>31</v>
      </c>
      <c r="M346" s="10" t="str">
        <f>_xlfn.TEXTJOIN(CHAR(10), TRUE, ,Merge1[[#This Row],[제품명]],Merge1[[#This Row],[오더번호]],Merge1[[#This Row],[제조번호]],Merge1[[#This Row],[지시수량]])</f>
        <v>엑손SR정75MG 반제품
1015530
A002934
800000</v>
      </c>
    </row>
    <row r="347" spans="1:13" ht="54" x14ac:dyDescent="0.25">
      <c r="A347" t="s">
        <v>200</v>
      </c>
      <c r="B347" t="s">
        <v>317</v>
      </c>
      <c r="C347" t="s">
        <v>321</v>
      </c>
      <c r="D347" t="s">
        <v>36</v>
      </c>
      <c r="E347" t="s">
        <v>37</v>
      </c>
      <c r="F347" t="s">
        <v>322</v>
      </c>
      <c r="G347">
        <v>80</v>
      </c>
      <c r="H347" t="s">
        <v>9</v>
      </c>
      <c r="I347" t="s">
        <v>327</v>
      </c>
      <c r="J347">
        <v>800000</v>
      </c>
      <c r="K347">
        <v>13</v>
      </c>
      <c r="L347">
        <f>VLOOKUP(Merge1[[#This Row],[제품코드]],공정중_우선순위[[제품코드]:[우선순위]],4,0)</f>
        <v>31</v>
      </c>
      <c r="M347" s="10" t="str">
        <f>_xlfn.TEXTJOIN(CHAR(10), TRUE, ,Merge1[[#This Row],[제품명]],Merge1[[#This Row],[오더번호]],Merge1[[#This Row],[제조번호]],Merge1[[#This Row],[지시수량]])</f>
        <v>엑손SR정75MG 반제품
1015530
A002934
800000</v>
      </c>
    </row>
    <row r="348" spans="1:13" ht="54" x14ac:dyDescent="0.25">
      <c r="A348" t="s">
        <v>200</v>
      </c>
      <c r="B348" t="s">
        <v>317</v>
      </c>
      <c r="C348" t="s">
        <v>323</v>
      </c>
      <c r="D348" t="s">
        <v>36</v>
      </c>
      <c r="E348" t="s">
        <v>37</v>
      </c>
      <c r="F348" t="s">
        <v>324</v>
      </c>
      <c r="G348">
        <v>80</v>
      </c>
      <c r="H348" t="s">
        <v>9</v>
      </c>
      <c r="I348" t="s">
        <v>327</v>
      </c>
      <c r="J348">
        <v>800000</v>
      </c>
      <c r="K348">
        <v>13</v>
      </c>
      <c r="L348">
        <f>VLOOKUP(Merge1[[#This Row],[제품코드]],공정중_우선순위[[제품코드]:[우선순위]],4,0)</f>
        <v>31</v>
      </c>
      <c r="M348" s="10" t="str">
        <f>_xlfn.TEXTJOIN(CHAR(10), TRUE, ,Merge1[[#This Row],[제품명]],Merge1[[#This Row],[오더번호]],Merge1[[#This Row],[제조번호]],Merge1[[#This Row],[지시수량]])</f>
        <v>엑손SR정75MG 반제품
1015531
A002935
800000</v>
      </c>
    </row>
    <row r="349" spans="1:13" ht="54" x14ac:dyDescent="0.25">
      <c r="A349" t="s">
        <v>200</v>
      </c>
      <c r="B349" t="s">
        <v>317</v>
      </c>
      <c r="C349" t="s">
        <v>323</v>
      </c>
      <c r="D349" t="s">
        <v>36</v>
      </c>
      <c r="E349" t="s">
        <v>37</v>
      </c>
      <c r="F349" t="s">
        <v>324</v>
      </c>
      <c r="G349">
        <v>80</v>
      </c>
      <c r="H349" t="s">
        <v>9</v>
      </c>
      <c r="I349" t="s">
        <v>327</v>
      </c>
      <c r="J349">
        <v>800000</v>
      </c>
      <c r="K349">
        <v>13</v>
      </c>
      <c r="L349">
        <f>VLOOKUP(Merge1[[#This Row],[제품코드]],공정중_우선순위[[제품코드]:[우선순위]],4,0)</f>
        <v>31</v>
      </c>
      <c r="M349" s="10" t="str">
        <f>_xlfn.TEXTJOIN(CHAR(10), TRUE, ,Merge1[[#This Row],[제품명]],Merge1[[#This Row],[오더번호]],Merge1[[#This Row],[제조번호]],Merge1[[#This Row],[지시수량]])</f>
        <v>엑손SR정75MG 반제품
1015531
A002935
800000</v>
      </c>
    </row>
    <row r="350" spans="1:13" ht="54" x14ac:dyDescent="0.25">
      <c r="A350" t="s">
        <v>200</v>
      </c>
      <c r="B350" t="s">
        <v>317</v>
      </c>
      <c r="C350" t="s">
        <v>325</v>
      </c>
      <c r="D350" t="s">
        <v>36</v>
      </c>
      <c r="E350" t="s">
        <v>37</v>
      </c>
      <c r="F350" t="s">
        <v>326</v>
      </c>
      <c r="G350">
        <v>80</v>
      </c>
      <c r="H350" t="s">
        <v>9</v>
      </c>
      <c r="I350" t="s">
        <v>327</v>
      </c>
      <c r="J350">
        <v>800000</v>
      </c>
      <c r="K350">
        <v>13</v>
      </c>
      <c r="L350">
        <f>VLOOKUP(Merge1[[#This Row],[제품코드]],공정중_우선순위[[제품코드]:[우선순위]],4,0)</f>
        <v>31</v>
      </c>
      <c r="M350" s="10" t="str">
        <f>_xlfn.TEXTJOIN(CHAR(10), TRUE, ,Merge1[[#This Row],[제품명]],Merge1[[#This Row],[오더번호]],Merge1[[#This Row],[제조번호]],Merge1[[#This Row],[지시수량]])</f>
        <v>엑손SR정75MG 반제품
1015532
A002936
800000</v>
      </c>
    </row>
    <row r="351" spans="1:13" ht="54" x14ac:dyDescent="0.25">
      <c r="A351" t="s">
        <v>200</v>
      </c>
      <c r="B351" t="s">
        <v>317</v>
      </c>
      <c r="C351" t="s">
        <v>325</v>
      </c>
      <c r="D351" t="s">
        <v>36</v>
      </c>
      <c r="E351" t="s">
        <v>37</v>
      </c>
      <c r="F351" t="s">
        <v>326</v>
      </c>
      <c r="G351">
        <v>80</v>
      </c>
      <c r="H351" t="s">
        <v>9</v>
      </c>
      <c r="I351" t="s">
        <v>327</v>
      </c>
      <c r="J351">
        <v>800000</v>
      </c>
      <c r="K351">
        <v>13</v>
      </c>
      <c r="L351">
        <f>VLOOKUP(Merge1[[#This Row],[제품코드]],공정중_우선순위[[제품코드]:[우선순위]],4,0)</f>
        <v>31</v>
      </c>
      <c r="M351" s="10" t="str">
        <f>_xlfn.TEXTJOIN(CHAR(10), TRUE, ,Merge1[[#This Row],[제품명]],Merge1[[#This Row],[오더번호]],Merge1[[#This Row],[제조번호]],Merge1[[#This Row],[지시수량]])</f>
        <v>엑손SR정75MG 반제품
1015532
A002936
800000</v>
      </c>
    </row>
    <row r="352" spans="1:13" ht="54" x14ac:dyDescent="0.25">
      <c r="A352" t="s">
        <v>200</v>
      </c>
      <c r="B352" t="s">
        <v>317</v>
      </c>
      <c r="C352" t="s">
        <v>328</v>
      </c>
      <c r="D352" t="s">
        <v>36</v>
      </c>
      <c r="E352" t="s">
        <v>37</v>
      </c>
      <c r="F352" t="s">
        <v>329</v>
      </c>
      <c r="G352">
        <v>100</v>
      </c>
      <c r="H352" t="s">
        <v>14</v>
      </c>
      <c r="I352" t="s">
        <v>233</v>
      </c>
      <c r="J352">
        <v>800000</v>
      </c>
      <c r="K352">
        <v>6</v>
      </c>
      <c r="L352">
        <f>VLOOKUP(Merge1[[#This Row],[제품코드]],공정중_우선순위[[제품코드]:[우선순위]],4,0)</f>
        <v>31</v>
      </c>
      <c r="M352" s="10" t="str">
        <f>_xlfn.TEXTJOIN(CHAR(10), TRUE, ,Merge1[[#This Row],[제품명]],Merge1[[#This Row],[오더번호]],Merge1[[#This Row],[제조번호]],Merge1[[#This Row],[지시수량]])</f>
        <v>엑손SR정75MG 반제품
1015349
A002891
800000</v>
      </c>
    </row>
    <row r="353" spans="1:13" ht="54" x14ac:dyDescent="0.25">
      <c r="A353" t="s">
        <v>200</v>
      </c>
      <c r="B353" t="s">
        <v>317</v>
      </c>
      <c r="C353" t="s">
        <v>318</v>
      </c>
      <c r="D353" t="s">
        <v>36</v>
      </c>
      <c r="E353" t="s">
        <v>37</v>
      </c>
      <c r="F353" t="s">
        <v>319</v>
      </c>
      <c r="G353">
        <v>100</v>
      </c>
      <c r="H353" t="s">
        <v>14</v>
      </c>
      <c r="I353" t="s">
        <v>233</v>
      </c>
      <c r="J353">
        <v>800000</v>
      </c>
      <c r="K353">
        <v>6</v>
      </c>
      <c r="L353">
        <f>VLOOKUP(Merge1[[#This Row],[제품코드]],공정중_우선순위[[제품코드]:[우선순위]],4,0)</f>
        <v>31</v>
      </c>
      <c r="M353" s="10" t="str">
        <f>_xlfn.TEXTJOIN(CHAR(10), TRUE, ,Merge1[[#This Row],[제품명]],Merge1[[#This Row],[오더번호]],Merge1[[#This Row],[제조번호]],Merge1[[#This Row],[지시수량]])</f>
        <v>엑손SR정75MG 반제품
1015529
A002933
800000</v>
      </c>
    </row>
    <row r="354" spans="1:13" ht="54" x14ac:dyDescent="0.25">
      <c r="A354" t="s">
        <v>200</v>
      </c>
      <c r="B354" t="s">
        <v>317</v>
      </c>
      <c r="C354" t="s">
        <v>321</v>
      </c>
      <c r="D354" t="s">
        <v>36</v>
      </c>
      <c r="E354" t="s">
        <v>37</v>
      </c>
      <c r="F354" t="s">
        <v>322</v>
      </c>
      <c r="G354">
        <v>100</v>
      </c>
      <c r="H354" t="s">
        <v>14</v>
      </c>
      <c r="I354" t="s">
        <v>233</v>
      </c>
      <c r="J354">
        <v>800000</v>
      </c>
      <c r="K354">
        <v>6</v>
      </c>
      <c r="L354">
        <f>VLOOKUP(Merge1[[#This Row],[제품코드]],공정중_우선순위[[제품코드]:[우선순위]],4,0)</f>
        <v>31</v>
      </c>
      <c r="M354" s="10" t="str">
        <f>_xlfn.TEXTJOIN(CHAR(10), TRUE, ,Merge1[[#This Row],[제품명]],Merge1[[#This Row],[오더번호]],Merge1[[#This Row],[제조번호]],Merge1[[#This Row],[지시수량]])</f>
        <v>엑손SR정75MG 반제품
1015530
A002934
800000</v>
      </c>
    </row>
    <row r="355" spans="1:13" ht="54" x14ac:dyDescent="0.25">
      <c r="A355" t="s">
        <v>200</v>
      </c>
      <c r="B355" t="s">
        <v>317</v>
      </c>
      <c r="C355" t="s">
        <v>323</v>
      </c>
      <c r="D355" t="s">
        <v>36</v>
      </c>
      <c r="E355" t="s">
        <v>37</v>
      </c>
      <c r="F355" t="s">
        <v>324</v>
      </c>
      <c r="G355">
        <v>100</v>
      </c>
      <c r="H355" t="s">
        <v>14</v>
      </c>
      <c r="I355" t="s">
        <v>233</v>
      </c>
      <c r="J355">
        <v>800000</v>
      </c>
      <c r="K355">
        <v>6</v>
      </c>
      <c r="L355">
        <f>VLOOKUP(Merge1[[#This Row],[제품코드]],공정중_우선순위[[제품코드]:[우선순위]],4,0)</f>
        <v>31</v>
      </c>
      <c r="M355" s="10" t="str">
        <f>_xlfn.TEXTJOIN(CHAR(10), TRUE, ,Merge1[[#This Row],[제품명]],Merge1[[#This Row],[오더번호]],Merge1[[#This Row],[제조번호]],Merge1[[#This Row],[지시수량]])</f>
        <v>엑손SR정75MG 반제품
1015531
A002935
800000</v>
      </c>
    </row>
    <row r="356" spans="1:13" ht="54" x14ac:dyDescent="0.25">
      <c r="A356" t="s">
        <v>200</v>
      </c>
      <c r="B356" t="s">
        <v>317</v>
      </c>
      <c r="C356" t="s">
        <v>325</v>
      </c>
      <c r="D356" t="s">
        <v>36</v>
      </c>
      <c r="E356" t="s">
        <v>37</v>
      </c>
      <c r="F356" t="s">
        <v>326</v>
      </c>
      <c r="G356">
        <v>100</v>
      </c>
      <c r="H356" t="s">
        <v>14</v>
      </c>
      <c r="I356" t="s">
        <v>233</v>
      </c>
      <c r="J356">
        <v>800000</v>
      </c>
      <c r="K356">
        <v>6</v>
      </c>
      <c r="L356">
        <f>VLOOKUP(Merge1[[#This Row],[제품코드]],공정중_우선순위[[제품코드]:[우선순위]],4,0)</f>
        <v>31</v>
      </c>
      <c r="M356" s="10" t="str">
        <f>_xlfn.TEXTJOIN(CHAR(10), TRUE, ,Merge1[[#This Row],[제품명]],Merge1[[#This Row],[오더번호]],Merge1[[#This Row],[제조번호]],Merge1[[#This Row],[지시수량]])</f>
        <v>엑손SR정75MG 반제품
1015532
A002936
800000</v>
      </c>
    </row>
    <row r="357" spans="1:13" ht="54" x14ac:dyDescent="0.25">
      <c r="A357" t="s">
        <v>200</v>
      </c>
      <c r="B357" t="s">
        <v>317</v>
      </c>
      <c r="C357" t="s">
        <v>330</v>
      </c>
      <c r="D357" t="s">
        <v>36</v>
      </c>
      <c r="E357" t="s">
        <v>37</v>
      </c>
      <c r="F357" t="s">
        <v>331</v>
      </c>
      <c r="G357">
        <v>110</v>
      </c>
      <c r="H357" t="s">
        <v>6</v>
      </c>
      <c r="I357" t="s">
        <v>215</v>
      </c>
      <c r="J357">
        <v>800000</v>
      </c>
      <c r="K357">
        <v>6</v>
      </c>
      <c r="L357">
        <f>VLOOKUP(Merge1[[#This Row],[제품코드]],공정중_우선순위[[제품코드]:[우선순위]],4,0)</f>
        <v>31</v>
      </c>
      <c r="M357" s="10" t="str">
        <f>_xlfn.TEXTJOIN(CHAR(10), TRUE, ,Merge1[[#This Row],[제품명]],Merge1[[#This Row],[오더번호]],Merge1[[#This Row],[제조번호]],Merge1[[#This Row],[지시수량]])</f>
        <v>엑손SR정75MG 반제품
1015347
A002889
800000</v>
      </c>
    </row>
    <row r="358" spans="1:13" ht="54" x14ac:dyDescent="0.25">
      <c r="A358" t="s">
        <v>200</v>
      </c>
      <c r="B358" t="s">
        <v>317</v>
      </c>
      <c r="C358" t="s">
        <v>330</v>
      </c>
      <c r="D358" t="s">
        <v>36</v>
      </c>
      <c r="E358" t="s">
        <v>37</v>
      </c>
      <c r="F358" t="s">
        <v>331</v>
      </c>
      <c r="G358">
        <v>110</v>
      </c>
      <c r="H358" t="s">
        <v>6</v>
      </c>
      <c r="I358" t="s">
        <v>215</v>
      </c>
      <c r="J358">
        <v>800000</v>
      </c>
      <c r="K358">
        <v>6</v>
      </c>
      <c r="L358">
        <f>VLOOKUP(Merge1[[#This Row],[제품코드]],공정중_우선순위[[제품코드]:[우선순위]],4,0)</f>
        <v>31</v>
      </c>
      <c r="M358" s="10" t="str">
        <f>_xlfn.TEXTJOIN(CHAR(10), TRUE, ,Merge1[[#This Row],[제품명]],Merge1[[#This Row],[오더번호]],Merge1[[#This Row],[제조번호]],Merge1[[#This Row],[지시수량]])</f>
        <v>엑손SR정75MG 반제품
1015347
A002889
800000</v>
      </c>
    </row>
    <row r="359" spans="1:13" ht="54" x14ac:dyDescent="0.25">
      <c r="A359" t="s">
        <v>200</v>
      </c>
      <c r="B359" t="s">
        <v>317</v>
      </c>
      <c r="C359" t="s">
        <v>332</v>
      </c>
      <c r="D359" t="s">
        <v>36</v>
      </c>
      <c r="E359" t="s">
        <v>37</v>
      </c>
      <c r="F359" t="s">
        <v>333</v>
      </c>
      <c r="G359">
        <v>110</v>
      </c>
      <c r="H359" t="s">
        <v>6</v>
      </c>
      <c r="I359" t="s">
        <v>215</v>
      </c>
      <c r="J359">
        <v>800000</v>
      </c>
      <c r="K359">
        <v>6</v>
      </c>
      <c r="L359">
        <f>VLOOKUP(Merge1[[#This Row],[제품코드]],공정중_우선순위[[제품코드]:[우선순위]],4,0)</f>
        <v>31</v>
      </c>
      <c r="M359" s="10" t="str">
        <f>_xlfn.TEXTJOIN(CHAR(10), TRUE, ,Merge1[[#This Row],[제품명]],Merge1[[#This Row],[오더번호]],Merge1[[#This Row],[제조번호]],Merge1[[#This Row],[지시수량]])</f>
        <v>엑손SR정75MG 반제품
1015348
A002890
800000</v>
      </c>
    </row>
    <row r="360" spans="1:13" ht="54" x14ac:dyDescent="0.25">
      <c r="A360" t="s">
        <v>200</v>
      </c>
      <c r="B360" t="s">
        <v>317</v>
      </c>
      <c r="C360" t="s">
        <v>332</v>
      </c>
      <c r="D360" t="s">
        <v>36</v>
      </c>
      <c r="E360" t="s">
        <v>37</v>
      </c>
      <c r="F360" t="s">
        <v>333</v>
      </c>
      <c r="G360">
        <v>110</v>
      </c>
      <c r="H360" t="s">
        <v>6</v>
      </c>
      <c r="I360" t="s">
        <v>215</v>
      </c>
      <c r="J360">
        <v>800000</v>
      </c>
      <c r="K360">
        <v>6</v>
      </c>
      <c r="L360">
        <f>VLOOKUP(Merge1[[#This Row],[제품코드]],공정중_우선순위[[제품코드]:[우선순위]],4,0)</f>
        <v>31</v>
      </c>
      <c r="M360" s="10" t="str">
        <f>_xlfn.TEXTJOIN(CHAR(10), TRUE, ,Merge1[[#This Row],[제품명]],Merge1[[#This Row],[오더번호]],Merge1[[#This Row],[제조번호]],Merge1[[#This Row],[지시수량]])</f>
        <v>엑손SR정75MG 반제품
1015348
A002890
800000</v>
      </c>
    </row>
    <row r="361" spans="1:13" ht="54" x14ac:dyDescent="0.25">
      <c r="A361" t="s">
        <v>200</v>
      </c>
      <c r="B361" t="s">
        <v>317</v>
      </c>
      <c r="C361" t="s">
        <v>328</v>
      </c>
      <c r="D361" t="s">
        <v>36</v>
      </c>
      <c r="E361" t="s">
        <v>37</v>
      </c>
      <c r="F361" t="s">
        <v>329</v>
      </c>
      <c r="G361">
        <v>110</v>
      </c>
      <c r="H361" t="s">
        <v>6</v>
      </c>
      <c r="I361" t="s">
        <v>215</v>
      </c>
      <c r="J361">
        <v>800000</v>
      </c>
      <c r="K361">
        <v>6</v>
      </c>
      <c r="L361">
        <f>VLOOKUP(Merge1[[#This Row],[제품코드]],공정중_우선순위[[제품코드]:[우선순위]],4,0)</f>
        <v>31</v>
      </c>
      <c r="M361" s="10" t="str">
        <f>_xlfn.TEXTJOIN(CHAR(10), TRUE, ,Merge1[[#This Row],[제품명]],Merge1[[#This Row],[오더번호]],Merge1[[#This Row],[제조번호]],Merge1[[#This Row],[지시수량]])</f>
        <v>엑손SR정75MG 반제품
1015349
A002891
800000</v>
      </c>
    </row>
    <row r="362" spans="1:13" ht="54" x14ac:dyDescent="0.25">
      <c r="A362" t="s">
        <v>200</v>
      </c>
      <c r="B362" t="s">
        <v>317</v>
      </c>
      <c r="C362" t="s">
        <v>328</v>
      </c>
      <c r="D362" t="s">
        <v>36</v>
      </c>
      <c r="E362" t="s">
        <v>37</v>
      </c>
      <c r="F362" t="s">
        <v>329</v>
      </c>
      <c r="G362">
        <v>110</v>
      </c>
      <c r="H362" t="s">
        <v>6</v>
      </c>
      <c r="I362" t="s">
        <v>215</v>
      </c>
      <c r="J362">
        <v>800000</v>
      </c>
      <c r="K362">
        <v>6</v>
      </c>
      <c r="L362">
        <f>VLOOKUP(Merge1[[#This Row],[제품코드]],공정중_우선순위[[제품코드]:[우선순위]],4,0)</f>
        <v>31</v>
      </c>
      <c r="M362" s="10" t="str">
        <f>_xlfn.TEXTJOIN(CHAR(10), TRUE, ,Merge1[[#This Row],[제품명]],Merge1[[#This Row],[오더번호]],Merge1[[#This Row],[제조번호]],Merge1[[#This Row],[지시수량]])</f>
        <v>엑손SR정75MG 반제품
1015349
A002891
800000</v>
      </c>
    </row>
    <row r="363" spans="1:13" ht="54" x14ac:dyDescent="0.25">
      <c r="A363" t="s">
        <v>200</v>
      </c>
      <c r="B363" t="s">
        <v>317</v>
      </c>
      <c r="C363" t="s">
        <v>318</v>
      </c>
      <c r="D363" t="s">
        <v>36</v>
      </c>
      <c r="E363" t="s">
        <v>37</v>
      </c>
      <c r="F363" t="s">
        <v>319</v>
      </c>
      <c r="G363">
        <v>110</v>
      </c>
      <c r="H363" t="s">
        <v>6</v>
      </c>
      <c r="I363" t="s">
        <v>215</v>
      </c>
      <c r="J363">
        <v>800000</v>
      </c>
      <c r="K363">
        <v>6</v>
      </c>
      <c r="L363">
        <f>VLOOKUP(Merge1[[#This Row],[제품코드]],공정중_우선순위[[제품코드]:[우선순위]],4,0)</f>
        <v>31</v>
      </c>
      <c r="M363" s="10" t="str">
        <f>_xlfn.TEXTJOIN(CHAR(10), TRUE, ,Merge1[[#This Row],[제품명]],Merge1[[#This Row],[오더번호]],Merge1[[#This Row],[제조번호]],Merge1[[#This Row],[지시수량]])</f>
        <v>엑손SR정75MG 반제품
1015529
A002933
800000</v>
      </c>
    </row>
    <row r="364" spans="1:13" ht="54" x14ac:dyDescent="0.25">
      <c r="A364" t="s">
        <v>200</v>
      </c>
      <c r="B364" t="s">
        <v>317</v>
      </c>
      <c r="C364" t="s">
        <v>318</v>
      </c>
      <c r="D364" t="s">
        <v>36</v>
      </c>
      <c r="E364" t="s">
        <v>37</v>
      </c>
      <c r="F364" t="s">
        <v>319</v>
      </c>
      <c r="G364">
        <v>110</v>
      </c>
      <c r="H364" t="s">
        <v>6</v>
      </c>
      <c r="I364" t="s">
        <v>215</v>
      </c>
      <c r="J364">
        <v>800000</v>
      </c>
      <c r="K364">
        <v>6</v>
      </c>
      <c r="L364">
        <f>VLOOKUP(Merge1[[#This Row],[제품코드]],공정중_우선순위[[제품코드]:[우선순위]],4,0)</f>
        <v>31</v>
      </c>
      <c r="M364" s="10" t="str">
        <f>_xlfn.TEXTJOIN(CHAR(10), TRUE, ,Merge1[[#This Row],[제품명]],Merge1[[#This Row],[오더번호]],Merge1[[#This Row],[제조번호]],Merge1[[#This Row],[지시수량]])</f>
        <v>엑손SR정75MG 반제품
1015529
A002933
800000</v>
      </c>
    </row>
    <row r="365" spans="1:13" ht="54" x14ac:dyDescent="0.25">
      <c r="A365" t="s">
        <v>200</v>
      </c>
      <c r="B365" t="s">
        <v>317</v>
      </c>
      <c r="C365" t="s">
        <v>321</v>
      </c>
      <c r="D365" t="s">
        <v>36</v>
      </c>
      <c r="E365" t="s">
        <v>37</v>
      </c>
      <c r="F365" t="s">
        <v>322</v>
      </c>
      <c r="G365">
        <v>110</v>
      </c>
      <c r="H365" t="s">
        <v>6</v>
      </c>
      <c r="I365" t="s">
        <v>215</v>
      </c>
      <c r="J365">
        <v>800000</v>
      </c>
      <c r="K365">
        <v>6</v>
      </c>
      <c r="L365">
        <f>VLOOKUP(Merge1[[#This Row],[제품코드]],공정중_우선순위[[제품코드]:[우선순위]],4,0)</f>
        <v>31</v>
      </c>
      <c r="M365" s="10" t="str">
        <f>_xlfn.TEXTJOIN(CHAR(10), TRUE, ,Merge1[[#This Row],[제품명]],Merge1[[#This Row],[오더번호]],Merge1[[#This Row],[제조번호]],Merge1[[#This Row],[지시수량]])</f>
        <v>엑손SR정75MG 반제품
1015530
A002934
800000</v>
      </c>
    </row>
    <row r="366" spans="1:13" ht="54" x14ac:dyDescent="0.25">
      <c r="A366" t="s">
        <v>200</v>
      </c>
      <c r="B366" t="s">
        <v>317</v>
      </c>
      <c r="C366" t="s">
        <v>321</v>
      </c>
      <c r="D366" t="s">
        <v>36</v>
      </c>
      <c r="E366" t="s">
        <v>37</v>
      </c>
      <c r="F366" t="s">
        <v>322</v>
      </c>
      <c r="G366">
        <v>110</v>
      </c>
      <c r="H366" t="s">
        <v>6</v>
      </c>
      <c r="I366" t="s">
        <v>215</v>
      </c>
      <c r="J366">
        <v>800000</v>
      </c>
      <c r="K366">
        <v>6</v>
      </c>
      <c r="L366">
        <f>VLOOKUP(Merge1[[#This Row],[제품코드]],공정중_우선순위[[제품코드]:[우선순위]],4,0)</f>
        <v>31</v>
      </c>
      <c r="M366" s="10" t="str">
        <f>_xlfn.TEXTJOIN(CHAR(10), TRUE, ,Merge1[[#This Row],[제품명]],Merge1[[#This Row],[오더번호]],Merge1[[#This Row],[제조번호]],Merge1[[#This Row],[지시수량]])</f>
        <v>엑손SR정75MG 반제품
1015530
A002934
800000</v>
      </c>
    </row>
    <row r="367" spans="1:13" ht="54" x14ac:dyDescent="0.25">
      <c r="A367" t="s">
        <v>200</v>
      </c>
      <c r="B367" t="s">
        <v>317</v>
      </c>
      <c r="C367" t="s">
        <v>323</v>
      </c>
      <c r="D367" t="s">
        <v>36</v>
      </c>
      <c r="E367" t="s">
        <v>37</v>
      </c>
      <c r="F367" t="s">
        <v>324</v>
      </c>
      <c r="G367">
        <v>110</v>
      </c>
      <c r="H367" t="s">
        <v>6</v>
      </c>
      <c r="I367" t="s">
        <v>215</v>
      </c>
      <c r="J367">
        <v>800000</v>
      </c>
      <c r="K367">
        <v>6</v>
      </c>
      <c r="L367">
        <f>VLOOKUP(Merge1[[#This Row],[제품코드]],공정중_우선순위[[제품코드]:[우선순위]],4,0)</f>
        <v>31</v>
      </c>
      <c r="M367" s="10" t="str">
        <f>_xlfn.TEXTJOIN(CHAR(10), TRUE, ,Merge1[[#This Row],[제품명]],Merge1[[#This Row],[오더번호]],Merge1[[#This Row],[제조번호]],Merge1[[#This Row],[지시수량]])</f>
        <v>엑손SR정75MG 반제품
1015531
A002935
800000</v>
      </c>
    </row>
    <row r="368" spans="1:13" ht="54" x14ac:dyDescent="0.25">
      <c r="A368" t="s">
        <v>200</v>
      </c>
      <c r="B368" t="s">
        <v>317</v>
      </c>
      <c r="C368" t="s">
        <v>323</v>
      </c>
      <c r="D368" t="s">
        <v>36</v>
      </c>
      <c r="E368" t="s">
        <v>37</v>
      </c>
      <c r="F368" t="s">
        <v>324</v>
      </c>
      <c r="G368">
        <v>110</v>
      </c>
      <c r="H368" t="s">
        <v>6</v>
      </c>
      <c r="I368" t="s">
        <v>215</v>
      </c>
      <c r="J368">
        <v>800000</v>
      </c>
      <c r="K368">
        <v>6</v>
      </c>
      <c r="L368">
        <f>VLOOKUP(Merge1[[#This Row],[제품코드]],공정중_우선순위[[제품코드]:[우선순위]],4,0)</f>
        <v>31</v>
      </c>
      <c r="M368" s="10" t="str">
        <f>_xlfn.TEXTJOIN(CHAR(10), TRUE, ,Merge1[[#This Row],[제품명]],Merge1[[#This Row],[오더번호]],Merge1[[#This Row],[제조번호]],Merge1[[#This Row],[지시수량]])</f>
        <v>엑손SR정75MG 반제품
1015531
A002935
800000</v>
      </c>
    </row>
    <row r="369" spans="1:13" ht="54" x14ac:dyDescent="0.25">
      <c r="A369" t="s">
        <v>200</v>
      </c>
      <c r="B369" t="s">
        <v>317</v>
      </c>
      <c r="C369" t="s">
        <v>325</v>
      </c>
      <c r="D369" t="s">
        <v>36</v>
      </c>
      <c r="E369" t="s">
        <v>37</v>
      </c>
      <c r="F369" t="s">
        <v>326</v>
      </c>
      <c r="G369">
        <v>110</v>
      </c>
      <c r="H369" t="s">
        <v>6</v>
      </c>
      <c r="I369" t="s">
        <v>215</v>
      </c>
      <c r="J369">
        <v>800000</v>
      </c>
      <c r="K369">
        <v>6</v>
      </c>
      <c r="L369">
        <f>VLOOKUP(Merge1[[#This Row],[제품코드]],공정중_우선순위[[제품코드]:[우선순위]],4,0)</f>
        <v>31</v>
      </c>
      <c r="M369" s="10" t="str">
        <f>_xlfn.TEXTJOIN(CHAR(10), TRUE, ,Merge1[[#This Row],[제품명]],Merge1[[#This Row],[오더번호]],Merge1[[#This Row],[제조번호]],Merge1[[#This Row],[지시수량]])</f>
        <v>엑손SR정75MG 반제품
1015532
A002936
800000</v>
      </c>
    </row>
    <row r="370" spans="1:13" ht="54" x14ac:dyDescent="0.25">
      <c r="A370" t="s">
        <v>200</v>
      </c>
      <c r="B370" t="s">
        <v>317</v>
      </c>
      <c r="C370" t="s">
        <v>325</v>
      </c>
      <c r="D370" t="s">
        <v>36</v>
      </c>
      <c r="E370" t="s">
        <v>37</v>
      </c>
      <c r="F370" t="s">
        <v>326</v>
      </c>
      <c r="G370">
        <v>110</v>
      </c>
      <c r="H370" t="s">
        <v>6</v>
      </c>
      <c r="I370" t="s">
        <v>215</v>
      </c>
      <c r="J370">
        <v>800000</v>
      </c>
      <c r="K370">
        <v>6</v>
      </c>
      <c r="L370">
        <f>VLOOKUP(Merge1[[#This Row],[제품코드]],공정중_우선순위[[제품코드]:[우선순위]],4,0)</f>
        <v>31</v>
      </c>
      <c r="M370" s="10" t="str">
        <f>_xlfn.TEXTJOIN(CHAR(10), TRUE, ,Merge1[[#This Row],[제품명]],Merge1[[#This Row],[오더번호]],Merge1[[#This Row],[제조번호]],Merge1[[#This Row],[지시수량]])</f>
        <v>엑손SR정75MG 반제품
1015532
A002936
800000</v>
      </c>
    </row>
    <row r="371" spans="1:13" ht="67.5" x14ac:dyDescent="0.25">
      <c r="A371" t="s">
        <v>200</v>
      </c>
      <c r="B371" t="s">
        <v>317</v>
      </c>
      <c r="C371" t="s">
        <v>403</v>
      </c>
      <c r="D371" t="s">
        <v>70</v>
      </c>
      <c r="E371" t="s">
        <v>71</v>
      </c>
      <c r="F371" t="s">
        <v>404</v>
      </c>
      <c r="G371">
        <v>60</v>
      </c>
      <c r="H371" t="s">
        <v>5</v>
      </c>
      <c r="I371" t="s">
        <v>396</v>
      </c>
      <c r="J371">
        <v>800000</v>
      </c>
      <c r="K371">
        <v>20</v>
      </c>
      <c r="L371">
        <f>VLOOKUP(Merge1[[#This Row],[제품코드]],공정중_우선순위[[제품코드]:[우선순위]],4,0)</f>
        <v>32</v>
      </c>
      <c r="M371" s="10" t="str">
        <f>_xlfn.TEXTJOIN(CHAR(10), TRUE, ,Merge1[[#This Row],[제품명]],Merge1[[#This Row],[오더번호]],Merge1[[#This Row],[제조번호]],Merge1[[#This Row],[지시수량]])</f>
        <v>글로에리손SR서방정75MG 반제품 (킵스바이오파마)
1015588
AP001
800000</v>
      </c>
    </row>
    <row r="372" spans="1:13" ht="67.5" x14ac:dyDescent="0.25">
      <c r="A372" t="s">
        <v>200</v>
      </c>
      <c r="B372" t="s">
        <v>317</v>
      </c>
      <c r="C372" t="s">
        <v>403</v>
      </c>
      <c r="D372" t="s">
        <v>70</v>
      </c>
      <c r="E372" t="s">
        <v>71</v>
      </c>
      <c r="F372" t="s">
        <v>404</v>
      </c>
      <c r="G372">
        <v>80</v>
      </c>
      <c r="H372" t="s">
        <v>9</v>
      </c>
      <c r="I372" t="s">
        <v>232</v>
      </c>
      <c r="J372">
        <v>800000</v>
      </c>
      <c r="K372">
        <v>13</v>
      </c>
      <c r="L372">
        <f>VLOOKUP(Merge1[[#This Row],[제품코드]],공정중_우선순위[[제품코드]:[우선순위]],4,0)</f>
        <v>32</v>
      </c>
      <c r="M372" s="10" t="str">
        <f>_xlfn.TEXTJOIN(CHAR(10), TRUE, ,Merge1[[#This Row],[제품명]],Merge1[[#This Row],[오더번호]],Merge1[[#This Row],[제조번호]],Merge1[[#This Row],[지시수량]])</f>
        <v>글로에리손SR서방정75MG 반제품 (킵스바이오파마)
1015588
AP001
800000</v>
      </c>
    </row>
    <row r="373" spans="1:13" ht="67.5" x14ac:dyDescent="0.25">
      <c r="A373" t="s">
        <v>200</v>
      </c>
      <c r="B373" t="s">
        <v>317</v>
      </c>
      <c r="C373" t="s">
        <v>403</v>
      </c>
      <c r="D373" t="s">
        <v>70</v>
      </c>
      <c r="E373" t="s">
        <v>71</v>
      </c>
      <c r="F373" t="s">
        <v>404</v>
      </c>
      <c r="G373">
        <v>100</v>
      </c>
      <c r="H373" t="s">
        <v>14</v>
      </c>
      <c r="I373" t="s">
        <v>233</v>
      </c>
      <c r="J373">
        <v>800000</v>
      </c>
      <c r="K373">
        <v>6</v>
      </c>
      <c r="L373">
        <f>VLOOKUP(Merge1[[#This Row],[제품코드]],공정중_우선순위[[제품코드]:[우선순위]],4,0)</f>
        <v>32</v>
      </c>
      <c r="M373" s="10" t="str">
        <f>_xlfn.TEXTJOIN(CHAR(10), TRUE, ,Merge1[[#This Row],[제품명]],Merge1[[#This Row],[오더번호]],Merge1[[#This Row],[제조번호]],Merge1[[#This Row],[지시수량]])</f>
        <v>글로에리손SR서방정75MG 반제품 (킵스바이오파마)
1015588
AP001
800000</v>
      </c>
    </row>
    <row r="374" spans="1:13" ht="67.5" x14ac:dyDescent="0.25">
      <c r="A374" t="s">
        <v>200</v>
      </c>
      <c r="B374" t="s">
        <v>317</v>
      </c>
      <c r="C374" t="s">
        <v>403</v>
      </c>
      <c r="D374" t="s">
        <v>70</v>
      </c>
      <c r="E374" t="s">
        <v>71</v>
      </c>
      <c r="F374" t="s">
        <v>404</v>
      </c>
      <c r="G374">
        <v>110</v>
      </c>
      <c r="H374" t="s">
        <v>6</v>
      </c>
      <c r="I374" t="s">
        <v>215</v>
      </c>
      <c r="J374">
        <v>800000</v>
      </c>
      <c r="K374">
        <v>6</v>
      </c>
      <c r="L374">
        <f>VLOOKUP(Merge1[[#This Row],[제품코드]],공정중_우선순위[[제품코드]:[우선순위]],4,0)</f>
        <v>32</v>
      </c>
      <c r="M374" s="10" t="str">
        <f>_xlfn.TEXTJOIN(CHAR(10), TRUE, ,Merge1[[#This Row],[제품명]],Merge1[[#This Row],[오더번호]],Merge1[[#This Row],[제조번호]],Merge1[[#This Row],[지시수량]])</f>
        <v>글로에리손SR서방정75MG 반제품 (킵스바이오파마)
1015588
AP001
800000</v>
      </c>
    </row>
    <row r="375" spans="1:13" ht="67.5" x14ac:dyDescent="0.25">
      <c r="A375" t="s">
        <v>200</v>
      </c>
      <c r="B375" t="s">
        <v>317</v>
      </c>
      <c r="C375" t="s">
        <v>405</v>
      </c>
      <c r="D375" t="s">
        <v>74</v>
      </c>
      <c r="E375" t="s">
        <v>75</v>
      </c>
      <c r="F375" t="s">
        <v>406</v>
      </c>
      <c r="G375">
        <v>60</v>
      </c>
      <c r="H375" t="s">
        <v>5</v>
      </c>
      <c r="I375" t="s">
        <v>396</v>
      </c>
      <c r="J375">
        <v>800000</v>
      </c>
      <c r="K375">
        <v>20</v>
      </c>
      <c r="L375">
        <f>VLOOKUP(Merge1[[#This Row],[제품코드]],공정중_우선순위[[제품코드]:[우선순위]],4,0)</f>
        <v>33</v>
      </c>
      <c r="M375" s="10" t="str">
        <f>_xlfn.TEXTJOIN(CHAR(10), TRUE, ,Merge1[[#This Row],[제품명]],Merge1[[#This Row],[오더번호]],Merge1[[#This Row],[제조번호]],Merge1[[#This Row],[지시수량]])</f>
        <v>에펜서방정75MG 반제품 (경동제약)
1015585
KI001
800000</v>
      </c>
    </row>
    <row r="376" spans="1:13" ht="67.5" x14ac:dyDescent="0.25">
      <c r="A376" t="s">
        <v>200</v>
      </c>
      <c r="B376" t="s">
        <v>317</v>
      </c>
      <c r="C376" t="s">
        <v>405</v>
      </c>
      <c r="D376" t="s">
        <v>74</v>
      </c>
      <c r="E376" t="s">
        <v>75</v>
      </c>
      <c r="F376" t="s">
        <v>406</v>
      </c>
      <c r="G376">
        <v>80</v>
      </c>
      <c r="H376" t="s">
        <v>9</v>
      </c>
      <c r="I376" t="s">
        <v>232</v>
      </c>
      <c r="J376">
        <v>800000</v>
      </c>
      <c r="K376">
        <v>13</v>
      </c>
      <c r="L376">
        <f>VLOOKUP(Merge1[[#This Row],[제품코드]],공정중_우선순위[[제품코드]:[우선순위]],4,0)</f>
        <v>33</v>
      </c>
      <c r="M376" s="10" t="str">
        <f>_xlfn.TEXTJOIN(CHAR(10), TRUE, ,Merge1[[#This Row],[제품명]],Merge1[[#This Row],[오더번호]],Merge1[[#This Row],[제조번호]],Merge1[[#This Row],[지시수량]])</f>
        <v>에펜서방정75MG 반제품 (경동제약)
1015585
KI001
800000</v>
      </c>
    </row>
    <row r="377" spans="1:13" ht="67.5" x14ac:dyDescent="0.25">
      <c r="A377" t="s">
        <v>200</v>
      </c>
      <c r="B377" t="s">
        <v>317</v>
      </c>
      <c r="C377" t="s">
        <v>405</v>
      </c>
      <c r="D377" t="s">
        <v>74</v>
      </c>
      <c r="E377" t="s">
        <v>75</v>
      </c>
      <c r="F377" t="s">
        <v>406</v>
      </c>
      <c r="G377">
        <v>100</v>
      </c>
      <c r="H377" t="s">
        <v>14</v>
      </c>
      <c r="I377" t="s">
        <v>233</v>
      </c>
      <c r="J377">
        <v>800000</v>
      </c>
      <c r="K377">
        <v>6</v>
      </c>
      <c r="L377">
        <f>VLOOKUP(Merge1[[#This Row],[제품코드]],공정중_우선순위[[제품코드]:[우선순위]],4,0)</f>
        <v>33</v>
      </c>
      <c r="M377" s="10" t="str">
        <f>_xlfn.TEXTJOIN(CHAR(10), TRUE, ,Merge1[[#This Row],[제품명]],Merge1[[#This Row],[오더번호]],Merge1[[#This Row],[제조번호]],Merge1[[#This Row],[지시수량]])</f>
        <v>에펜서방정75MG 반제품 (경동제약)
1015585
KI001
800000</v>
      </c>
    </row>
    <row r="378" spans="1:13" ht="67.5" x14ac:dyDescent="0.25">
      <c r="A378" t="s">
        <v>200</v>
      </c>
      <c r="B378" t="s">
        <v>317</v>
      </c>
      <c r="C378" t="s">
        <v>405</v>
      </c>
      <c r="D378" t="s">
        <v>74</v>
      </c>
      <c r="E378" t="s">
        <v>75</v>
      </c>
      <c r="F378" t="s">
        <v>406</v>
      </c>
      <c r="G378">
        <v>110</v>
      </c>
      <c r="H378" t="s">
        <v>6</v>
      </c>
      <c r="I378" t="s">
        <v>234</v>
      </c>
      <c r="J378">
        <v>800000</v>
      </c>
      <c r="K378">
        <v>6</v>
      </c>
      <c r="L378">
        <f>VLOOKUP(Merge1[[#This Row],[제품코드]],공정중_우선순위[[제품코드]:[우선순위]],4,0)</f>
        <v>33</v>
      </c>
      <c r="M378" s="10" t="str">
        <f>_xlfn.TEXTJOIN(CHAR(10), TRUE, ,Merge1[[#This Row],[제품명]],Merge1[[#This Row],[오더번호]],Merge1[[#This Row],[제조번호]],Merge1[[#This Row],[지시수량]])</f>
        <v>에펜서방정75MG 반제품 (경동제약)
1015585
KI001
800000</v>
      </c>
    </row>
    <row r="379" spans="1:13" ht="67.5" x14ac:dyDescent="0.25">
      <c r="A379" t="s">
        <v>200</v>
      </c>
      <c r="B379" t="s">
        <v>317</v>
      </c>
      <c r="C379" t="s">
        <v>407</v>
      </c>
      <c r="D379" t="s">
        <v>76</v>
      </c>
      <c r="E379" t="s">
        <v>77</v>
      </c>
      <c r="F379" t="s">
        <v>408</v>
      </c>
      <c r="G379">
        <v>80</v>
      </c>
      <c r="H379" t="s">
        <v>9</v>
      </c>
      <c r="I379" t="s">
        <v>327</v>
      </c>
      <c r="J379">
        <v>800000</v>
      </c>
      <c r="K379">
        <v>13</v>
      </c>
      <c r="L379">
        <f>VLOOKUP(Merge1[[#This Row],[제품코드]],공정중_우선순위[[제품코드]:[우선순위]],4,0)</f>
        <v>34</v>
      </c>
      <c r="M379" s="10" t="str">
        <f>_xlfn.TEXTJOIN(CHAR(10), TRUE, ,Merge1[[#This Row],[제품명]],Merge1[[#This Row],[오더번호]],Merge1[[#This Row],[제조번호]],Merge1[[#This Row],[지시수량]])</f>
        <v>에릭손SR정75MG 반제품 (국제약품)
1015587
TES12501
800000</v>
      </c>
    </row>
    <row r="380" spans="1:13" ht="67.5" x14ac:dyDescent="0.25">
      <c r="A380" t="s">
        <v>200</v>
      </c>
      <c r="B380" t="s">
        <v>317</v>
      </c>
      <c r="C380" t="s">
        <v>407</v>
      </c>
      <c r="D380" t="s">
        <v>76</v>
      </c>
      <c r="E380" t="s">
        <v>77</v>
      </c>
      <c r="F380" t="s">
        <v>408</v>
      </c>
      <c r="G380">
        <v>100</v>
      </c>
      <c r="H380" t="s">
        <v>14</v>
      </c>
      <c r="I380" t="s">
        <v>233</v>
      </c>
      <c r="J380">
        <v>800000</v>
      </c>
      <c r="K380">
        <v>6</v>
      </c>
      <c r="L380">
        <f>VLOOKUP(Merge1[[#This Row],[제품코드]],공정중_우선순위[[제품코드]:[우선순위]],4,0)</f>
        <v>34</v>
      </c>
      <c r="M380" s="10" t="str">
        <f>_xlfn.TEXTJOIN(CHAR(10), TRUE, ,Merge1[[#This Row],[제품명]],Merge1[[#This Row],[오더번호]],Merge1[[#This Row],[제조번호]],Merge1[[#This Row],[지시수량]])</f>
        <v>에릭손SR정75MG 반제품 (국제약품)
1015587
TES12501
800000</v>
      </c>
    </row>
    <row r="381" spans="1:13" ht="67.5" x14ac:dyDescent="0.25">
      <c r="A381" t="s">
        <v>200</v>
      </c>
      <c r="B381" t="s">
        <v>317</v>
      </c>
      <c r="C381" t="s">
        <v>407</v>
      </c>
      <c r="D381" t="s">
        <v>76</v>
      </c>
      <c r="E381" t="s">
        <v>77</v>
      </c>
      <c r="F381" t="s">
        <v>408</v>
      </c>
      <c r="G381">
        <v>110</v>
      </c>
      <c r="H381" t="s">
        <v>6</v>
      </c>
      <c r="I381" t="s">
        <v>234</v>
      </c>
      <c r="J381">
        <v>800000</v>
      </c>
      <c r="K381">
        <v>6</v>
      </c>
      <c r="L381">
        <f>VLOOKUP(Merge1[[#This Row],[제품코드]],공정중_우선순위[[제품코드]:[우선순위]],4,0)</f>
        <v>34</v>
      </c>
      <c r="M381" s="10" t="str">
        <f>_xlfn.TEXTJOIN(CHAR(10), TRUE, ,Merge1[[#This Row],[제품명]],Merge1[[#This Row],[오더번호]],Merge1[[#This Row],[제조번호]],Merge1[[#This Row],[지시수량]])</f>
        <v>에릭손SR정75MG 반제품 (국제약품)
1015587
TES12501
800000</v>
      </c>
    </row>
    <row r="382" spans="1:13" ht="54" x14ac:dyDescent="0.25">
      <c r="A382" t="s">
        <v>200</v>
      </c>
      <c r="B382" t="s">
        <v>285</v>
      </c>
      <c r="C382" t="s">
        <v>410</v>
      </c>
      <c r="D382" t="s">
        <v>78</v>
      </c>
      <c r="E382" t="s">
        <v>79</v>
      </c>
      <c r="F382" t="s">
        <v>411</v>
      </c>
      <c r="G382">
        <v>90</v>
      </c>
      <c r="H382" t="s">
        <v>29</v>
      </c>
      <c r="I382" t="s">
        <v>288</v>
      </c>
      <c r="J382">
        <v>1000000</v>
      </c>
      <c r="K382">
        <v>27</v>
      </c>
      <c r="L382">
        <f>VLOOKUP(Merge1[[#This Row],[제품코드]],공정중_우선순위[[제품코드]:[우선순위]],4,0)</f>
        <v>35</v>
      </c>
      <c r="M382" s="10" t="str">
        <f>_xlfn.TEXTJOIN(CHAR(10), TRUE, ,Merge1[[#This Row],[제품명]],Merge1[[#This Row],[오더번호]],Merge1[[#This Row],[제조번호]],Merge1[[#This Row],[지시수량]])</f>
        <v>엑소닌정50MG 반제품 (SK)
1015104
92506
1000000</v>
      </c>
    </row>
    <row r="383" spans="1:13" ht="54" x14ac:dyDescent="0.25">
      <c r="A383" t="s">
        <v>200</v>
      </c>
      <c r="B383" t="s">
        <v>285</v>
      </c>
      <c r="C383" t="s">
        <v>410</v>
      </c>
      <c r="D383" t="s">
        <v>78</v>
      </c>
      <c r="E383" t="s">
        <v>79</v>
      </c>
      <c r="F383" t="s">
        <v>411</v>
      </c>
      <c r="G383">
        <v>110</v>
      </c>
      <c r="H383" t="s">
        <v>6</v>
      </c>
      <c r="I383" t="s">
        <v>234</v>
      </c>
      <c r="J383">
        <v>1000000</v>
      </c>
      <c r="K383">
        <v>16</v>
      </c>
      <c r="L383">
        <f>VLOOKUP(Merge1[[#This Row],[제품코드]],공정중_우선순위[[제품코드]:[우선순위]],4,0)</f>
        <v>35</v>
      </c>
      <c r="M383" s="10" t="str">
        <f>_xlfn.TEXTJOIN(CHAR(10), TRUE, ,Merge1[[#This Row],[제품명]],Merge1[[#This Row],[오더번호]],Merge1[[#This Row],[제조번호]],Merge1[[#This Row],[지시수량]])</f>
        <v>엑소닌정50MG 반제품 (SK)
1015104
92506
1000000</v>
      </c>
    </row>
    <row r="384" spans="1:13" ht="67.5" x14ac:dyDescent="0.25">
      <c r="A384" t="s">
        <v>200</v>
      </c>
      <c r="B384" t="s">
        <v>285</v>
      </c>
      <c r="C384" t="s">
        <v>401</v>
      </c>
      <c r="D384" t="s">
        <v>68</v>
      </c>
      <c r="E384" t="s">
        <v>69</v>
      </c>
      <c r="F384" t="s">
        <v>402</v>
      </c>
      <c r="G384">
        <v>60</v>
      </c>
      <c r="H384" t="s">
        <v>5</v>
      </c>
      <c r="I384" t="s">
        <v>320</v>
      </c>
      <c r="J384">
        <v>1000000</v>
      </c>
      <c r="K384">
        <v>23</v>
      </c>
      <c r="L384">
        <f>VLOOKUP(Merge1[[#This Row],[제품코드]],공정중_우선순위[[제품코드]:[우선순위]],4,0)</f>
        <v>36</v>
      </c>
      <c r="M384" s="10" t="str">
        <f>_xlfn.TEXTJOIN(CHAR(10), TRUE, ,Merge1[[#This Row],[제품명]],Merge1[[#This Row],[오더번호]],Merge1[[#This Row],[제조번호]],Merge1[[#This Row],[지시수량]])</f>
        <v>에펠정(에이프로젠)50MG 반제품 (에이프로젠)
1015513
25001
1000000</v>
      </c>
    </row>
    <row r="385" spans="1:13" ht="67.5" x14ac:dyDescent="0.25">
      <c r="A385" t="s">
        <v>200</v>
      </c>
      <c r="B385" t="s">
        <v>285</v>
      </c>
      <c r="C385" t="s">
        <v>401</v>
      </c>
      <c r="D385" t="s">
        <v>68</v>
      </c>
      <c r="E385" t="s">
        <v>69</v>
      </c>
      <c r="F385" t="s">
        <v>402</v>
      </c>
      <c r="G385">
        <v>90</v>
      </c>
      <c r="H385" t="s">
        <v>29</v>
      </c>
      <c r="I385" t="s">
        <v>288</v>
      </c>
      <c r="J385">
        <v>1000000</v>
      </c>
      <c r="K385">
        <v>27</v>
      </c>
      <c r="L385">
        <f>VLOOKUP(Merge1[[#This Row],[제품코드]],공정중_우선순위[[제품코드]:[우선순위]],4,0)</f>
        <v>36</v>
      </c>
      <c r="M385" s="10" t="str">
        <f>_xlfn.TEXTJOIN(CHAR(10), TRUE, ,Merge1[[#This Row],[제품명]],Merge1[[#This Row],[오더번호]],Merge1[[#This Row],[제조번호]],Merge1[[#This Row],[지시수량]])</f>
        <v>에펠정(에이프로젠)50MG 반제품 (에이프로젠)
1015513
25001
1000000</v>
      </c>
    </row>
    <row r="386" spans="1:13" ht="67.5" x14ac:dyDescent="0.25">
      <c r="A386" t="s">
        <v>200</v>
      </c>
      <c r="B386" t="s">
        <v>285</v>
      </c>
      <c r="C386" t="s">
        <v>401</v>
      </c>
      <c r="D386" t="s">
        <v>68</v>
      </c>
      <c r="E386" t="s">
        <v>69</v>
      </c>
      <c r="F386" t="s">
        <v>402</v>
      </c>
      <c r="G386">
        <v>100</v>
      </c>
      <c r="H386" t="s">
        <v>14</v>
      </c>
      <c r="I386" t="s">
        <v>233</v>
      </c>
      <c r="J386">
        <v>1000000</v>
      </c>
      <c r="K386">
        <v>12</v>
      </c>
      <c r="L386">
        <f>VLOOKUP(Merge1[[#This Row],[제품코드]],공정중_우선순위[[제품코드]:[우선순위]],4,0)</f>
        <v>36</v>
      </c>
      <c r="M386" s="10" t="str">
        <f>_xlfn.TEXTJOIN(CHAR(10), TRUE, ,Merge1[[#This Row],[제품명]],Merge1[[#This Row],[오더번호]],Merge1[[#This Row],[제조번호]],Merge1[[#This Row],[지시수량]])</f>
        <v>에펠정(에이프로젠)50MG 반제품 (에이프로젠)
1015513
25001
1000000</v>
      </c>
    </row>
    <row r="387" spans="1:13" ht="67.5" x14ac:dyDescent="0.25">
      <c r="A387" t="s">
        <v>200</v>
      </c>
      <c r="B387" t="s">
        <v>285</v>
      </c>
      <c r="C387" t="s">
        <v>401</v>
      </c>
      <c r="D387" t="s">
        <v>68</v>
      </c>
      <c r="E387" t="s">
        <v>69</v>
      </c>
      <c r="F387" t="s">
        <v>402</v>
      </c>
      <c r="G387">
        <v>110</v>
      </c>
      <c r="H387" t="s">
        <v>6</v>
      </c>
      <c r="I387" t="s">
        <v>234</v>
      </c>
      <c r="J387">
        <v>1000000</v>
      </c>
      <c r="K387">
        <v>16</v>
      </c>
      <c r="L387">
        <f>VLOOKUP(Merge1[[#This Row],[제품코드]],공정중_우선순위[[제품코드]:[우선순위]],4,0)</f>
        <v>36</v>
      </c>
      <c r="M387" s="10" t="str">
        <f>_xlfn.TEXTJOIN(CHAR(10), TRUE, ,Merge1[[#This Row],[제품명]],Merge1[[#This Row],[오더번호]],Merge1[[#This Row],[제조번호]],Merge1[[#This Row],[지시수량]])</f>
        <v>에펠정(에이프로젠)50MG 반제품 (에이프로젠)
1015513
25001
1000000</v>
      </c>
    </row>
    <row r="388" spans="1:13" ht="67.5" x14ac:dyDescent="0.25">
      <c r="A388" t="s">
        <v>200</v>
      </c>
      <c r="B388" t="s">
        <v>285</v>
      </c>
      <c r="C388" t="s">
        <v>401</v>
      </c>
      <c r="D388" t="s">
        <v>72</v>
      </c>
      <c r="E388" t="s">
        <v>73</v>
      </c>
      <c r="F388" t="s">
        <v>409</v>
      </c>
      <c r="G388">
        <v>90</v>
      </c>
      <c r="H388" t="s">
        <v>29</v>
      </c>
      <c r="I388" t="s">
        <v>288</v>
      </c>
      <c r="J388">
        <v>1000000</v>
      </c>
      <c r="K388">
        <v>27</v>
      </c>
      <c r="L388">
        <f>VLOOKUP(Merge1[[#This Row],[제품코드]],공정중_우선순위[[제품코드]:[우선순위]],4,0)</f>
        <v>37</v>
      </c>
      <c r="M388" s="10" t="str">
        <f>_xlfn.TEXTJOIN(CHAR(10), TRUE, ,Merge1[[#This Row],[제품명]],Merge1[[#This Row],[오더번호]],Merge1[[#This Row],[제조번호]],Merge1[[#This Row],[지시수량]])</f>
        <v>에페프린정50MG 반제품 (한화제약)
1015105
25001
1000000</v>
      </c>
    </row>
    <row r="389" spans="1:13" ht="67.5" x14ac:dyDescent="0.25">
      <c r="A389" t="s">
        <v>200</v>
      </c>
      <c r="B389" t="s">
        <v>285</v>
      </c>
      <c r="C389" t="s">
        <v>401</v>
      </c>
      <c r="D389" t="s">
        <v>72</v>
      </c>
      <c r="E389" t="s">
        <v>73</v>
      </c>
      <c r="F389" t="s">
        <v>409</v>
      </c>
      <c r="G389">
        <v>100</v>
      </c>
      <c r="H389" t="s">
        <v>14</v>
      </c>
      <c r="I389" t="s">
        <v>233</v>
      </c>
      <c r="J389">
        <v>1000000</v>
      </c>
      <c r="K389">
        <v>12</v>
      </c>
      <c r="L389">
        <f>VLOOKUP(Merge1[[#This Row],[제품코드]],공정중_우선순위[[제품코드]:[우선순위]],4,0)</f>
        <v>37</v>
      </c>
      <c r="M389" s="10" t="str">
        <f>_xlfn.TEXTJOIN(CHAR(10), TRUE, ,Merge1[[#This Row],[제품명]],Merge1[[#This Row],[오더번호]],Merge1[[#This Row],[제조번호]],Merge1[[#This Row],[지시수량]])</f>
        <v>에페프린정50MG 반제품 (한화제약)
1015105
25001
1000000</v>
      </c>
    </row>
    <row r="390" spans="1:13" ht="67.5" x14ac:dyDescent="0.25">
      <c r="A390" t="s">
        <v>200</v>
      </c>
      <c r="B390" t="s">
        <v>285</v>
      </c>
      <c r="C390" t="s">
        <v>401</v>
      </c>
      <c r="D390" t="s">
        <v>72</v>
      </c>
      <c r="E390" t="s">
        <v>73</v>
      </c>
      <c r="F390" t="s">
        <v>409</v>
      </c>
      <c r="G390">
        <v>110</v>
      </c>
      <c r="H390" t="s">
        <v>6</v>
      </c>
      <c r="I390" t="s">
        <v>234</v>
      </c>
      <c r="J390">
        <v>1000000</v>
      </c>
      <c r="K390">
        <v>16</v>
      </c>
      <c r="L390">
        <f>VLOOKUP(Merge1[[#This Row],[제품코드]],공정중_우선순위[[제품코드]:[우선순위]],4,0)</f>
        <v>37</v>
      </c>
      <c r="M390" s="10" t="str">
        <f>_xlfn.TEXTJOIN(CHAR(10), TRUE, ,Merge1[[#This Row],[제품명]],Merge1[[#This Row],[오더번호]],Merge1[[#This Row],[제조번호]],Merge1[[#This Row],[지시수량]])</f>
        <v>에페프린정50MG 반제품 (한화제약)
1015105
25001
1000000</v>
      </c>
    </row>
    <row r="391" spans="1:13" ht="67.5" x14ac:dyDescent="0.25">
      <c r="A391" t="s">
        <v>200</v>
      </c>
      <c r="B391" t="s">
        <v>285</v>
      </c>
      <c r="C391" t="s">
        <v>390</v>
      </c>
      <c r="D391" t="s">
        <v>64</v>
      </c>
      <c r="E391" t="s">
        <v>65</v>
      </c>
      <c r="F391" t="s">
        <v>391</v>
      </c>
      <c r="G391">
        <v>60</v>
      </c>
      <c r="H391" t="s">
        <v>5</v>
      </c>
      <c r="I391" t="s">
        <v>320</v>
      </c>
      <c r="J391">
        <v>1000000</v>
      </c>
      <c r="K391">
        <v>23</v>
      </c>
      <c r="L391">
        <f>VLOOKUP(Merge1[[#This Row],[제품코드]],공정중_우선순위[[제품코드]:[우선순위]],4,0)</f>
        <v>38</v>
      </c>
      <c r="M391" s="10" t="str">
        <f>_xlfn.TEXTJOIN(CHAR(10), TRUE, ,Merge1[[#This Row],[제품명]],Merge1[[#This Row],[오더번호]],Merge1[[#This Row],[제조번호]],Merge1[[#This Row],[지시수량]])</f>
        <v>대웅바이오에페리손정50MG 반제품 (대웅바이오)
1015464
25EP5010
1000000</v>
      </c>
    </row>
    <row r="392" spans="1:13" ht="67.5" x14ac:dyDescent="0.25">
      <c r="A392" t="s">
        <v>200</v>
      </c>
      <c r="B392" t="s">
        <v>285</v>
      </c>
      <c r="C392" t="s">
        <v>392</v>
      </c>
      <c r="D392" t="s">
        <v>64</v>
      </c>
      <c r="E392" t="s">
        <v>65</v>
      </c>
      <c r="F392" t="s">
        <v>393</v>
      </c>
      <c r="G392">
        <v>90</v>
      </c>
      <c r="H392" t="s">
        <v>29</v>
      </c>
      <c r="I392" t="s">
        <v>288</v>
      </c>
      <c r="J392">
        <v>1000000</v>
      </c>
      <c r="K392">
        <v>27</v>
      </c>
      <c r="L392">
        <f>VLOOKUP(Merge1[[#This Row],[제품코드]],공정중_우선순위[[제품코드]:[우선순위]],4,0)</f>
        <v>38</v>
      </c>
      <c r="M392" s="10" t="str">
        <f>_xlfn.TEXTJOIN(CHAR(10), TRUE, ,Merge1[[#This Row],[제품명]],Merge1[[#This Row],[오더번호]],Merge1[[#This Row],[제조번호]],Merge1[[#This Row],[지시수량]])</f>
        <v>대웅바이오에페리손정50MG 반제품 (대웅바이오)
1015463
25EP5009
1000000</v>
      </c>
    </row>
    <row r="393" spans="1:13" ht="67.5" x14ac:dyDescent="0.25">
      <c r="A393" t="s">
        <v>200</v>
      </c>
      <c r="B393" t="s">
        <v>285</v>
      </c>
      <c r="C393" t="s">
        <v>390</v>
      </c>
      <c r="D393" t="s">
        <v>64</v>
      </c>
      <c r="E393" t="s">
        <v>65</v>
      </c>
      <c r="F393" t="s">
        <v>391</v>
      </c>
      <c r="G393">
        <v>90</v>
      </c>
      <c r="H393" t="s">
        <v>29</v>
      </c>
      <c r="I393" t="s">
        <v>288</v>
      </c>
      <c r="J393">
        <v>1000000</v>
      </c>
      <c r="K393">
        <v>27</v>
      </c>
      <c r="L393">
        <f>VLOOKUP(Merge1[[#This Row],[제품코드]],공정중_우선순위[[제품코드]:[우선순위]],4,0)</f>
        <v>38</v>
      </c>
      <c r="M393" s="10" t="str">
        <f>_xlfn.TEXTJOIN(CHAR(10), TRUE, ,Merge1[[#This Row],[제품명]],Merge1[[#This Row],[오더번호]],Merge1[[#This Row],[제조번호]],Merge1[[#This Row],[지시수량]])</f>
        <v>대웅바이오에페리손정50MG 반제품 (대웅바이오)
1015464
25EP5010
1000000</v>
      </c>
    </row>
    <row r="394" spans="1:13" ht="67.5" x14ac:dyDescent="0.25">
      <c r="A394" t="s">
        <v>200</v>
      </c>
      <c r="B394" t="s">
        <v>285</v>
      </c>
      <c r="C394" t="s">
        <v>392</v>
      </c>
      <c r="D394" t="s">
        <v>64</v>
      </c>
      <c r="E394" t="s">
        <v>65</v>
      </c>
      <c r="F394" t="s">
        <v>393</v>
      </c>
      <c r="G394">
        <v>100</v>
      </c>
      <c r="H394" t="s">
        <v>14</v>
      </c>
      <c r="I394" t="s">
        <v>233</v>
      </c>
      <c r="J394">
        <v>1000000</v>
      </c>
      <c r="K394">
        <v>12</v>
      </c>
      <c r="L394">
        <f>VLOOKUP(Merge1[[#This Row],[제품코드]],공정중_우선순위[[제품코드]:[우선순위]],4,0)</f>
        <v>38</v>
      </c>
      <c r="M394" s="10" t="str">
        <f>_xlfn.TEXTJOIN(CHAR(10), TRUE, ,Merge1[[#This Row],[제품명]],Merge1[[#This Row],[오더번호]],Merge1[[#This Row],[제조번호]],Merge1[[#This Row],[지시수량]])</f>
        <v>대웅바이오에페리손정50MG 반제품 (대웅바이오)
1015463
25EP5009
1000000</v>
      </c>
    </row>
    <row r="395" spans="1:13" ht="67.5" x14ac:dyDescent="0.25">
      <c r="A395" t="s">
        <v>200</v>
      </c>
      <c r="B395" t="s">
        <v>285</v>
      </c>
      <c r="C395" t="s">
        <v>390</v>
      </c>
      <c r="D395" t="s">
        <v>64</v>
      </c>
      <c r="E395" t="s">
        <v>65</v>
      </c>
      <c r="F395" t="s">
        <v>391</v>
      </c>
      <c r="G395">
        <v>100</v>
      </c>
      <c r="H395" t="s">
        <v>14</v>
      </c>
      <c r="I395" t="s">
        <v>233</v>
      </c>
      <c r="J395">
        <v>1000000</v>
      </c>
      <c r="K395">
        <v>12</v>
      </c>
      <c r="L395">
        <f>VLOOKUP(Merge1[[#This Row],[제품코드]],공정중_우선순위[[제품코드]:[우선순위]],4,0)</f>
        <v>38</v>
      </c>
      <c r="M395" s="10" t="str">
        <f>_xlfn.TEXTJOIN(CHAR(10), TRUE, ,Merge1[[#This Row],[제품명]],Merge1[[#This Row],[오더번호]],Merge1[[#This Row],[제조번호]],Merge1[[#This Row],[지시수량]])</f>
        <v>대웅바이오에페리손정50MG 반제품 (대웅바이오)
1015464
25EP5010
1000000</v>
      </c>
    </row>
    <row r="396" spans="1:13" ht="67.5" x14ac:dyDescent="0.25">
      <c r="A396" t="s">
        <v>200</v>
      </c>
      <c r="B396" t="s">
        <v>285</v>
      </c>
      <c r="C396" t="s">
        <v>392</v>
      </c>
      <c r="D396" t="s">
        <v>64</v>
      </c>
      <c r="E396" t="s">
        <v>65</v>
      </c>
      <c r="F396" t="s">
        <v>393</v>
      </c>
      <c r="G396">
        <v>110</v>
      </c>
      <c r="H396" t="s">
        <v>6</v>
      </c>
      <c r="I396" t="s">
        <v>234</v>
      </c>
      <c r="J396">
        <v>1000000</v>
      </c>
      <c r="K396">
        <v>16</v>
      </c>
      <c r="L396">
        <f>VLOOKUP(Merge1[[#This Row],[제품코드]],공정중_우선순위[[제품코드]:[우선순위]],4,0)</f>
        <v>38</v>
      </c>
      <c r="M396" s="10" t="str">
        <f>_xlfn.TEXTJOIN(CHAR(10), TRUE, ,Merge1[[#This Row],[제품명]],Merge1[[#This Row],[오더번호]],Merge1[[#This Row],[제조번호]],Merge1[[#This Row],[지시수량]])</f>
        <v>대웅바이오에페리손정50MG 반제품 (대웅바이오)
1015463
25EP5009
1000000</v>
      </c>
    </row>
    <row r="397" spans="1:13" ht="67.5" x14ac:dyDescent="0.25">
      <c r="A397" t="s">
        <v>200</v>
      </c>
      <c r="B397" t="s">
        <v>285</v>
      </c>
      <c r="C397" t="s">
        <v>390</v>
      </c>
      <c r="D397" t="s">
        <v>64</v>
      </c>
      <c r="E397" t="s">
        <v>65</v>
      </c>
      <c r="F397" t="s">
        <v>391</v>
      </c>
      <c r="G397">
        <v>110</v>
      </c>
      <c r="H397" t="s">
        <v>6</v>
      </c>
      <c r="I397" t="s">
        <v>234</v>
      </c>
      <c r="J397">
        <v>1000000</v>
      </c>
      <c r="K397">
        <v>16</v>
      </c>
      <c r="L397">
        <f>VLOOKUP(Merge1[[#This Row],[제품코드]],공정중_우선순위[[제품코드]:[우선순위]],4,0)</f>
        <v>38</v>
      </c>
      <c r="M397" s="10" t="str">
        <f>_xlfn.TEXTJOIN(CHAR(10), TRUE, ,Merge1[[#This Row],[제품명]],Merge1[[#This Row],[오더번호]],Merge1[[#This Row],[제조번호]],Merge1[[#This Row],[지시수량]])</f>
        <v>대웅바이오에페리손정50MG 반제품 (대웅바이오)
1015464
25EP5010
1000000</v>
      </c>
    </row>
    <row r="398" spans="1:13" ht="67.5" x14ac:dyDescent="0.25">
      <c r="A398" t="s">
        <v>200</v>
      </c>
      <c r="B398" t="s">
        <v>285</v>
      </c>
      <c r="C398" t="s">
        <v>378</v>
      </c>
      <c r="D398" t="s">
        <v>52</v>
      </c>
      <c r="E398" t="s">
        <v>53</v>
      </c>
      <c r="F398" t="s">
        <v>379</v>
      </c>
      <c r="G398">
        <v>60</v>
      </c>
      <c r="H398" t="s">
        <v>5</v>
      </c>
      <c r="I398" t="s">
        <v>320</v>
      </c>
      <c r="J398">
        <v>1000000</v>
      </c>
      <c r="K398">
        <v>23</v>
      </c>
      <c r="L398">
        <f>VLOOKUP(Merge1[[#This Row],[제품코드]],공정중_우선순위[[제품코드]:[우선순위]],4,0)</f>
        <v>39</v>
      </c>
      <c r="M398" s="10" t="str">
        <f>_xlfn.TEXTJOIN(CHAR(10), TRUE, ,Merge1[[#This Row],[제품명]],Merge1[[#This Row],[오더번호]],Merge1[[#This Row],[제조번호]],Merge1[[#This Row],[지시수량]])</f>
        <v>한올에페리손정50MG 반제품 (한올바이오)
1015512
4000107
1000000</v>
      </c>
    </row>
    <row r="399" spans="1:13" ht="67.5" x14ac:dyDescent="0.25">
      <c r="A399" t="s">
        <v>200</v>
      </c>
      <c r="B399" t="s">
        <v>285</v>
      </c>
      <c r="C399" t="s">
        <v>378</v>
      </c>
      <c r="D399" t="s">
        <v>52</v>
      </c>
      <c r="E399" t="s">
        <v>53</v>
      </c>
      <c r="F399" t="s">
        <v>379</v>
      </c>
      <c r="G399">
        <v>90</v>
      </c>
      <c r="H399" t="s">
        <v>29</v>
      </c>
      <c r="I399" t="s">
        <v>288</v>
      </c>
      <c r="J399">
        <v>1000000</v>
      </c>
      <c r="K399">
        <v>27</v>
      </c>
      <c r="L399">
        <f>VLOOKUP(Merge1[[#This Row],[제품코드]],공정중_우선순위[[제품코드]:[우선순위]],4,0)</f>
        <v>39</v>
      </c>
      <c r="M399" s="10" t="str">
        <f>_xlfn.TEXTJOIN(CHAR(10), TRUE, ,Merge1[[#This Row],[제품명]],Merge1[[#This Row],[오더번호]],Merge1[[#This Row],[제조번호]],Merge1[[#This Row],[지시수량]])</f>
        <v>한올에페리손정50MG 반제품 (한올바이오)
1015512
4000107
1000000</v>
      </c>
    </row>
    <row r="400" spans="1:13" ht="67.5" x14ac:dyDescent="0.25">
      <c r="A400" t="s">
        <v>200</v>
      </c>
      <c r="B400" t="s">
        <v>285</v>
      </c>
      <c r="C400" t="s">
        <v>378</v>
      </c>
      <c r="D400" t="s">
        <v>52</v>
      </c>
      <c r="E400" t="s">
        <v>53</v>
      </c>
      <c r="F400" t="s">
        <v>379</v>
      </c>
      <c r="G400">
        <v>100</v>
      </c>
      <c r="H400" t="s">
        <v>14</v>
      </c>
      <c r="I400" t="s">
        <v>233</v>
      </c>
      <c r="J400">
        <v>1000000</v>
      </c>
      <c r="K400">
        <v>12</v>
      </c>
      <c r="L400">
        <f>VLOOKUP(Merge1[[#This Row],[제품코드]],공정중_우선순위[[제품코드]:[우선순위]],4,0)</f>
        <v>39</v>
      </c>
      <c r="M400" s="10" t="str">
        <f>_xlfn.TEXTJOIN(CHAR(10), TRUE, ,Merge1[[#This Row],[제품명]],Merge1[[#This Row],[오더번호]],Merge1[[#This Row],[제조번호]],Merge1[[#This Row],[지시수량]])</f>
        <v>한올에페리손정50MG 반제품 (한올바이오)
1015512
4000107
1000000</v>
      </c>
    </row>
    <row r="401" spans="1:13" ht="67.5" x14ac:dyDescent="0.25">
      <c r="A401" t="s">
        <v>200</v>
      </c>
      <c r="B401" t="s">
        <v>285</v>
      </c>
      <c r="C401" t="s">
        <v>378</v>
      </c>
      <c r="D401" t="s">
        <v>52</v>
      </c>
      <c r="E401" t="s">
        <v>53</v>
      </c>
      <c r="F401" t="s">
        <v>379</v>
      </c>
      <c r="G401">
        <v>110</v>
      </c>
      <c r="H401" t="s">
        <v>6</v>
      </c>
      <c r="I401" t="s">
        <v>234</v>
      </c>
      <c r="J401">
        <v>1000000</v>
      </c>
      <c r="K401">
        <v>16</v>
      </c>
      <c r="L401">
        <f>VLOOKUP(Merge1[[#This Row],[제품코드]],공정중_우선순위[[제품코드]:[우선순위]],4,0)</f>
        <v>39</v>
      </c>
      <c r="M401" s="10" t="str">
        <f>_xlfn.TEXTJOIN(CHAR(10), TRUE, ,Merge1[[#This Row],[제품명]],Merge1[[#This Row],[오더번호]],Merge1[[#This Row],[제조번호]],Merge1[[#This Row],[지시수량]])</f>
        <v>한올에페리손정50MG 반제품 (한올바이오)
1015512
4000107
1000000</v>
      </c>
    </row>
    <row r="402" spans="1:13" ht="54" x14ac:dyDescent="0.25">
      <c r="A402" t="s">
        <v>200</v>
      </c>
      <c r="B402" t="s">
        <v>285</v>
      </c>
      <c r="C402" t="s">
        <v>286</v>
      </c>
      <c r="D402" t="s">
        <v>27</v>
      </c>
      <c r="E402" t="s">
        <v>28</v>
      </c>
      <c r="F402" t="s">
        <v>287</v>
      </c>
      <c r="G402">
        <v>90</v>
      </c>
      <c r="H402" t="s">
        <v>29</v>
      </c>
      <c r="I402" t="s">
        <v>288</v>
      </c>
      <c r="J402">
        <v>1000000</v>
      </c>
      <c r="K402">
        <v>27</v>
      </c>
      <c r="L402">
        <f>VLOOKUP(Merge1[[#This Row],[제품코드]],공정중_우선순위[[제품코드]:[우선순위]],4,0)</f>
        <v>40</v>
      </c>
      <c r="M402" s="10" t="str">
        <f>_xlfn.TEXTJOIN(CHAR(10), TRUE, ,Merge1[[#This Row],[제품명]],Merge1[[#This Row],[오더번호]],Merge1[[#This Row],[제조번호]],Merge1[[#This Row],[지시수량]])</f>
        <v>엑손정50MG 반제품
1015465
A002912
1000000</v>
      </c>
    </row>
    <row r="403" spans="1:13" ht="54" x14ac:dyDescent="0.25">
      <c r="A403" t="s">
        <v>200</v>
      </c>
      <c r="B403" t="s">
        <v>285</v>
      </c>
      <c r="C403" t="s">
        <v>289</v>
      </c>
      <c r="D403" t="s">
        <v>27</v>
      </c>
      <c r="E403" t="s">
        <v>28</v>
      </c>
      <c r="F403" t="s">
        <v>290</v>
      </c>
      <c r="G403">
        <v>90</v>
      </c>
      <c r="H403" t="s">
        <v>29</v>
      </c>
      <c r="I403" t="s">
        <v>288</v>
      </c>
      <c r="J403">
        <v>1000000</v>
      </c>
      <c r="K403">
        <v>27</v>
      </c>
      <c r="L403">
        <f>VLOOKUP(Merge1[[#This Row],[제품코드]],공정중_우선순위[[제품코드]:[우선순위]],4,0)</f>
        <v>40</v>
      </c>
      <c r="M403" s="10" t="str">
        <f>_xlfn.TEXTJOIN(CHAR(10), TRUE, ,Merge1[[#This Row],[제품명]],Merge1[[#This Row],[오더번호]],Merge1[[#This Row],[제조번호]],Merge1[[#This Row],[지시수량]])</f>
        <v>엑손정50MG 반제품
1015477
A002922
1000000</v>
      </c>
    </row>
    <row r="404" spans="1:13" ht="54" x14ac:dyDescent="0.25">
      <c r="A404" t="s">
        <v>200</v>
      </c>
      <c r="B404" t="s">
        <v>285</v>
      </c>
      <c r="C404" t="s">
        <v>291</v>
      </c>
      <c r="D404" t="s">
        <v>27</v>
      </c>
      <c r="E404" t="s">
        <v>28</v>
      </c>
      <c r="F404" t="s">
        <v>292</v>
      </c>
      <c r="G404">
        <v>90</v>
      </c>
      <c r="H404" t="s">
        <v>29</v>
      </c>
      <c r="I404" t="s">
        <v>288</v>
      </c>
      <c r="J404">
        <v>1000000</v>
      </c>
      <c r="K404">
        <v>27</v>
      </c>
      <c r="L404">
        <f>VLOOKUP(Merge1[[#This Row],[제품코드]],공정중_우선순위[[제품코드]:[우선순위]],4,0)</f>
        <v>40</v>
      </c>
      <c r="M404" s="10" t="str">
        <f>_xlfn.TEXTJOIN(CHAR(10), TRUE, ,Merge1[[#This Row],[제품명]],Merge1[[#This Row],[오더번호]],Merge1[[#This Row],[제조번호]],Merge1[[#This Row],[지시수량]])</f>
        <v>엑손정50MG 반제품
1015478
A002923
1000000</v>
      </c>
    </row>
    <row r="405" spans="1:13" ht="54" x14ac:dyDescent="0.25">
      <c r="A405" t="s">
        <v>200</v>
      </c>
      <c r="B405" t="s">
        <v>285</v>
      </c>
      <c r="C405" t="s">
        <v>293</v>
      </c>
      <c r="D405" t="s">
        <v>27</v>
      </c>
      <c r="E405" t="s">
        <v>28</v>
      </c>
      <c r="F405" t="s">
        <v>294</v>
      </c>
      <c r="G405">
        <v>90</v>
      </c>
      <c r="H405" t="s">
        <v>29</v>
      </c>
      <c r="I405" t="s">
        <v>288</v>
      </c>
      <c r="J405">
        <v>1000000</v>
      </c>
      <c r="K405">
        <v>27</v>
      </c>
      <c r="L405">
        <f>VLOOKUP(Merge1[[#This Row],[제품코드]],공정중_우선순위[[제품코드]:[우선순위]],4,0)</f>
        <v>40</v>
      </c>
      <c r="M405" s="10" t="str">
        <f>_xlfn.TEXTJOIN(CHAR(10), TRUE, ,Merge1[[#This Row],[제품명]],Merge1[[#This Row],[오더번호]],Merge1[[#This Row],[제조번호]],Merge1[[#This Row],[지시수량]])</f>
        <v>엑손정50MG 반제품
1015479
A002924
1000000</v>
      </c>
    </row>
    <row r="406" spans="1:13" ht="54" x14ac:dyDescent="0.25">
      <c r="A406" t="s">
        <v>200</v>
      </c>
      <c r="B406" t="s">
        <v>285</v>
      </c>
      <c r="C406" t="s">
        <v>286</v>
      </c>
      <c r="D406" t="s">
        <v>27</v>
      </c>
      <c r="E406" t="s">
        <v>28</v>
      </c>
      <c r="F406" t="s">
        <v>287</v>
      </c>
      <c r="G406">
        <v>100</v>
      </c>
      <c r="H406" t="s">
        <v>14</v>
      </c>
      <c r="I406" t="s">
        <v>233</v>
      </c>
      <c r="J406">
        <v>1000000</v>
      </c>
      <c r="K406">
        <v>12</v>
      </c>
      <c r="L406">
        <f>VLOOKUP(Merge1[[#This Row],[제품코드]],공정중_우선순위[[제품코드]:[우선순위]],4,0)</f>
        <v>40</v>
      </c>
      <c r="M406" s="10" t="str">
        <f>_xlfn.TEXTJOIN(CHAR(10), TRUE, ,Merge1[[#This Row],[제품명]],Merge1[[#This Row],[오더번호]],Merge1[[#This Row],[제조번호]],Merge1[[#This Row],[지시수량]])</f>
        <v>엑손정50MG 반제품
1015465
A002912
1000000</v>
      </c>
    </row>
    <row r="407" spans="1:13" ht="54" x14ac:dyDescent="0.25">
      <c r="A407" t="s">
        <v>200</v>
      </c>
      <c r="B407" t="s">
        <v>285</v>
      </c>
      <c r="C407" t="s">
        <v>289</v>
      </c>
      <c r="D407" t="s">
        <v>27</v>
      </c>
      <c r="E407" t="s">
        <v>28</v>
      </c>
      <c r="F407" t="s">
        <v>290</v>
      </c>
      <c r="G407">
        <v>100</v>
      </c>
      <c r="H407" t="s">
        <v>14</v>
      </c>
      <c r="I407" t="s">
        <v>233</v>
      </c>
      <c r="J407">
        <v>1000000</v>
      </c>
      <c r="K407">
        <v>12</v>
      </c>
      <c r="L407">
        <f>VLOOKUP(Merge1[[#This Row],[제품코드]],공정중_우선순위[[제품코드]:[우선순위]],4,0)</f>
        <v>40</v>
      </c>
      <c r="M407" s="10" t="str">
        <f>_xlfn.TEXTJOIN(CHAR(10), TRUE, ,Merge1[[#This Row],[제품명]],Merge1[[#This Row],[오더번호]],Merge1[[#This Row],[제조번호]],Merge1[[#This Row],[지시수량]])</f>
        <v>엑손정50MG 반제품
1015477
A002922
1000000</v>
      </c>
    </row>
    <row r="408" spans="1:13" ht="54" x14ac:dyDescent="0.25">
      <c r="A408" t="s">
        <v>200</v>
      </c>
      <c r="B408" t="s">
        <v>285</v>
      </c>
      <c r="C408" t="s">
        <v>291</v>
      </c>
      <c r="D408" t="s">
        <v>27</v>
      </c>
      <c r="E408" t="s">
        <v>28</v>
      </c>
      <c r="F408" t="s">
        <v>292</v>
      </c>
      <c r="G408">
        <v>100</v>
      </c>
      <c r="H408" t="s">
        <v>14</v>
      </c>
      <c r="I408" t="s">
        <v>233</v>
      </c>
      <c r="J408">
        <v>1000000</v>
      </c>
      <c r="K408">
        <v>12</v>
      </c>
      <c r="L408">
        <f>VLOOKUP(Merge1[[#This Row],[제품코드]],공정중_우선순위[[제품코드]:[우선순위]],4,0)</f>
        <v>40</v>
      </c>
      <c r="M408" s="10" t="str">
        <f>_xlfn.TEXTJOIN(CHAR(10), TRUE, ,Merge1[[#This Row],[제품명]],Merge1[[#This Row],[오더번호]],Merge1[[#This Row],[제조번호]],Merge1[[#This Row],[지시수량]])</f>
        <v>엑손정50MG 반제품
1015478
A002923
1000000</v>
      </c>
    </row>
    <row r="409" spans="1:13" ht="54" x14ac:dyDescent="0.25">
      <c r="A409" t="s">
        <v>200</v>
      </c>
      <c r="B409" t="s">
        <v>285</v>
      </c>
      <c r="C409" t="s">
        <v>293</v>
      </c>
      <c r="D409" t="s">
        <v>27</v>
      </c>
      <c r="E409" t="s">
        <v>28</v>
      </c>
      <c r="F409" t="s">
        <v>294</v>
      </c>
      <c r="G409">
        <v>100</v>
      </c>
      <c r="H409" t="s">
        <v>14</v>
      </c>
      <c r="I409" t="s">
        <v>233</v>
      </c>
      <c r="J409">
        <v>1000000</v>
      </c>
      <c r="K409">
        <v>12</v>
      </c>
      <c r="L409">
        <f>VLOOKUP(Merge1[[#This Row],[제품코드]],공정중_우선순위[[제품코드]:[우선순위]],4,0)</f>
        <v>40</v>
      </c>
      <c r="M409" s="10" t="str">
        <f>_xlfn.TEXTJOIN(CHAR(10), TRUE, ,Merge1[[#This Row],[제품명]],Merge1[[#This Row],[오더번호]],Merge1[[#This Row],[제조번호]],Merge1[[#This Row],[지시수량]])</f>
        <v>엑손정50MG 반제품
1015479
A002924
1000000</v>
      </c>
    </row>
    <row r="410" spans="1:13" ht="54" x14ac:dyDescent="0.25">
      <c r="A410" t="s">
        <v>200</v>
      </c>
      <c r="B410" t="s">
        <v>285</v>
      </c>
      <c r="C410" t="s">
        <v>295</v>
      </c>
      <c r="D410" t="s">
        <v>27</v>
      </c>
      <c r="E410" t="s">
        <v>28</v>
      </c>
      <c r="F410" t="s">
        <v>296</v>
      </c>
      <c r="G410">
        <v>110</v>
      </c>
      <c r="H410" t="s">
        <v>6</v>
      </c>
      <c r="I410" t="s">
        <v>234</v>
      </c>
      <c r="J410">
        <v>1000000</v>
      </c>
      <c r="K410">
        <v>16</v>
      </c>
      <c r="L410">
        <f>VLOOKUP(Merge1[[#This Row],[제품코드]],공정중_우선순위[[제품코드]:[우선순위]],4,0)</f>
        <v>40</v>
      </c>
      <c r="M410" s="10" t="str">
        <f>_xlfn.TEXTJOIN(CHAR(10), TRUE, ,Merge1[[#This Row],[제품명]],Merge1[[#This Row],[오더번호]],Merge1[[#This Row],[제조번호]],Merge1[[#This Row],[지시수량]])</f>
        <v>엑손정50MG 반제품
1015100
A002835
1000000</v>
      </c>
    </row>
    <row r="411" spans="1:13" ht="54" x14ac:dyDescent="0.25">
      <c r="A411" t="s">
        <v>200</v>
      </c>
      <c r="B411" t="s">
        <v>285</v>
      </c>
      <c r="C411" t="s">
        <v>286</v>
      </c>
      <c r="D411" t="s">
        <v>27</v>
      </c>
      <c r="E411" t="s">
        <v>28</v>
      </c>
      <c r="F411" t="s">
        <v>287</v>
      </c>
      <c r="G411">
        <v>110</v>
      </c>
      <c r="H411" t="s">
        <v>6</v>
      </c>
      <c r="I411" t="s">
        <v>234</v>
      </c>
      <c r="J411">
        <v>1000000</v>
      </c>
      <c r="K411">
        <v>16</v>
      </c>
      <c r="L411">
        <f>VLOOKUP(Merge1[[#This Row],[제품코드]],공정중_우선순위[[제품코드]:[우선순위]],4,0)</f>
        <v>40</v>
      </c>
      <c r="M411" s="10" t="str">
        <f>_xlfn.TEXTJOIN(CHAR(10), TRUE, ,Merge1[[#This Row],[제품명]],Merge1[[#This Row],[오더번호]],Merge1[[#This Row],[제조번호]],Merge1[[#This Row],[지시수량]])</f>
        <v>엑손정50MG 반제품
1015465
A002912
1000000</v>
      </c>
    </row>
    <row r="412" spans="1:13" ht="54" x14ac:dyDescent="0.25">
      <c r="A412" t="s">
        <v>200</v>
      </c>
      <c r="B412" t="s">
        <v>285</v>
      </c>
      <c r="C412" t="s">
        <v>289</v>
      </c>
      <c r="D412" t="s">
        <v>27</v>
      </c>
      <c r="E412" t="s">
        <v>28</v>
      </c>
      <c r="F412" t="s">
        <v>290</v>
      </c>
      <c r="G412">
        <v>110</v>
      </c>
      <c r="H412" t="s">
        <v>6</v>
      </c>
      <c r="I412" t="s">
        <v>234</v>
      </c>
      <c r="J412">
        <v>1000000</v>
      </c>
      <c r="K412">
        <v>16</v>
      </c>
      <c r="L412">
        <f>VLOOKUP(Merge1[[#This Row],[제품코드]],공정중_우선순위[[제품코드]:[우선순위]],4,0)</f>
        <v>40</v>
      </c>
      <c r="M412" s="10" t="str">
        <f>_xlfn.TEXTJOIN(CHAR(10), TRUE, ,Merge1[[#This Row],[제품명]],Merge1[[#This Row],[오더번호]],Merge1[[#This Row],[제조번호]],Merge1[[#This Row],[지시수량]])</f>
        <v>엑손정50MG 반제품
1015477
A002922
1000000</v>
      </c>
    </row>
    <row r="413" spans="1:13" ht="54" x14ac:dyDescent="0.25">
      <c r="A413" t="s">
        <v>200</v>
      </c>
      <c r="B413" t="s">
        <v>285</v>
      </c>
      <c r="C413" t="s">
        <v>291</v>
      </c>
      <c r="D413" t="s">
        <v>27</v>
      </c>
      <c r="E413" t="s">
        <v>28</v>
      </c>
      <c r="F413" t="s">
        <v>292</v>
      </c>
      <c r="G413">
        <v>110</v>
      </c>
      <c r="H413" t="s">
        <v>6</v>
      </c>
      <c r="I413" t="s">
        <v>234</v>
      </c>
      <c r="J413">
        <v>1000000</v>
      </c>
      <c r="K413">
        <v>16</v>
      </c>
      <c r="L413">
        <f>VLOOKUP(Merge1[[#This Row],[제품코드]],공정중_우선순위[[제품코드]:[우선순위]],4,0)</f>
        <v>40</v>
      </c>
      <c r="M413" s="10" t="str">
        <f>_xlfn.TEXTJOIN(CHAR(10), TRUE, ,Merge1[[#This Row],[제품명]],Merge1[[#This Row],[오더번호]],Merge1[[#This Row],[제조번호]],Merge1[[#This Row],[지시수량]])</f>
        <v>엑손정50MG 반제품
1015478
A002923
1000000</v>
      </c>
    </row>
    <row r="414" spans="1:13" ht="54" x14ac:dyDescent="0.25">
      <c r="A414" t="s">
        <v>200</v>
      </c>
      <c r="B414" t="s">
        <v>285</v>
      </c>
      <c r="C414" t="s">
        <v>293</v>
      </c>
      <c r="D414" t="s">
        <v>27</v>
      </c>
      <c r="E414" t="s">
        <v>28</v>
      </c>
      <c r="F414" t="s">
        <v>294</v>
      </c>
      <c r="G414">
        <v>110</v>
      </c>
      <c r="H414" t="s">
        <v>6</v>
      </c>
      <c r="I414" t="s">
        <v>234</v>
      </c>
      <c r="J414">
        <v>1000000</v>
      </c>
      <c r="K414">
        <v>16</v>
      </c>
      <c r="L414">
        <f>VLOOKUP(Merge1[[#This Row],[제품코드]],공정중_우선순위[[제품코드]:[우선순위]],4,0)</f>
        <v>40</v>
      </c>
      <c r="M414" s="10" t="str">
        <f>_xlfn.TEXTJOIN(CHAR(10), TRUE, ,Merge1[[#This Row],[제품명]],Merge1[[#This Row],[오더번호]],Merge1[[#This Row],[제조번호]],Merge1[[#This Row],[지시수량]])</f>
        <v>엑손정50MG 반제품
1015479
A002924
1000000</v>
      </c>
    </row>
    <row r="415" spans="1:13" ht="54" x14ac:dyDescent="0.25">
      <c r="A415" t="s">
        <v>200</v>
      </c>
      <c r="B415" t="s">
        <v>285</v>
      </c>
      <c r="C415" t="s">
        <v>386</v>
      </c>
      <c r="D415" t="s">
        <v>60</v>
      </c>
      <c r="E415" t="s">
        <v>61</v>
      </c>
      <c r="F415" t="s">
        <v>387</v>
      </c>
      <c r="G415">
        <v>90</v>
      </c>
      <c r="H415" t="s">
        <v>29</v>
      </c>
      <c r="I415" t="s">
        <v>288</v>
      </c>
      <c r="J415">
        <v>1000000</v>
      </c>
      <c r="K415">
        <v>27</v>
      </c>
      <c r="L415">
        <f>VLOOKUP(Merge1[[#This Row],[제품코드]],공정중_우선순위[[제품코드]:[우선순위]],4,0)</f>
        <v>41</v>
      </c>
      <c r="M415" s="10" t="str">
        <f>_xlfn.TEXTJOIN(CHAR(10), TRUE, ,Merge1[[#This Row],[제품명]],Merge1[[#This Row],[오더번호]],Merge1[[#This Row],[제조번호]],Merge1[[#This Row],[지시수량]])</f>
        <v>뮤프리손정50MG 반제품 (종근당)
1015141
KG002
1000000</v>
      </c>
    </row>
    <row r="416" spans="1:13" ht="54" x14ac:dyDescent="0.25">
      <c r="A416" t="s">
        <v>200</v>
      </c>
      <c r="B416" t="s">
        <v>285</v>
      </c>
      <c r="C416" t="s">
        <v>386</v>
      </c>
      <c r="D416" t="s">
        <v>60</v>
      </c>
      <c r="E416" t="s">
        <v>61</v>
      </c>
      <c r="F416" t="s">
        <v>387</v>
      </c>
      <c r="G416">
        <v>110</v>
      </c>
      <c r="H416" t="s">
        <v>6</v>
      </c>
      <c r="I416" t="s">
        <v>234</v>
      </c>
      <c r="J416">
        <v>1000000</v>
      </c>
      <c r="K416">
        <v>16</v>
      </c>
      <c r="L416">
        <f>VLOOKUP(Merge1[[#This Row],[제품코드]],공정중_우선순위[[제품코드]:[우선순위]],4,0)</f>
        <v>41</v>
      </c>
      <c r="M416" s="10" t="str">
        <f>_xlfn.TEXTJOIN(CHAR(10), TRUE, ,Merge1[[#This Row],[제품명]],Merge1[[#This Row],[오더번호]],Merge1[[#This Row],[제조번호]],Merge1[[#This Row],[지시수량]])</f>
        <v>뮤프리손정50MG 반제품 (종근당)
1015141
KG002
1000000</v>
      </c>
    </row>
    <row r="417" spans="1:13" ht="54" x14ac:dyDescent="0.25">
      <c r="A417" t="s">
        <v>200</v>
      </c>
      <c r="B417" t="s">
        <v>297</v>
      </c>
      <c r="C417" t="s">
        <v>298</v>
      </c>
      <c r="D417" t="s">
        <v>30</v>
      </c>
      <c r="E417" t="s">
        <v>31</v>
      </c>
      <c r="F417" t="s">
        <v>299</v>
      </c>
      <c r="G417">
        <v>110</v>
      </c>
      <c r="H417" t="s">
        <v>6</v>
      </c>
      <c r="I417" t="s">
        <v>211</v>
      </c>
      <c r="J417">
        <v>500000</v>
      </c>
      <c r="K417">
        <v>16</v>
      </c>
      <c r="L417">
        <f>VLOOKUP(Merge1[[#This Row],[제품코드]],공정중_우선순위[[제품코드]:[우선순위]],4,0)</f>
        <v>42</v>
      </c>
      <c r="M417" s="10" t="str">
        <f>_xlfn.TEXTJOIN(CHAR(10), TRUE, ,Merge1[[#This Row],[제품명]],Merge1[[#This Row],[오더번호]],Merge1[[#This Row],[제조번호]],Merge1[[#This Row],[지시수량]])</f>
        <v>아주오메프라졸캡슐20MG 반제품
1015600
A002958
500000</v>
      </c>
    </row>
    <row r="418" spans="1:13" ht="54" x14ac:dyDescent="0.25">
      <c r="A418" t="s">
        <v>200</v>
      </c>
      <c r="B418" t="s">
        <v>297</v>
      </c>
      <c r="C418" t="s">
        <v>298</v>
      </c>
      <c r="D418" t="s">
        <v>30</v>
      </c>
      <c r="E418" t="s">
        <v>31</v>
      </c>
      <c r="F418" t="s">
        <v>299</v>
      </c>
      <c r="G418">
        <v>110</v>
      </c>
      <c r="H418" t="s">
        <v>6</v>
      </c>
      <c r="I418" t="s">
        <v>211</v>
      </c>
      <c r="J418">
        <v>500000</v>
      </c>
      <c r="K418">
        <v>16</v>
      </c>
      <c r="L418">
        <f>VLOOKUP(Merge1[[#This Row],[제품코드]],공정중_우선순위[[제품코드]:[우선순위]],4,0)</f>
        <v>42</v>
      </c>
      <c r="M418" s="10" t="str">
        <f>_xlfn.TEXTJOIN(CHAR(10), TRUE, ,Merge1[[#This Row],[제품명]],Merge1[[#This Row],[오더번호]],Merge1[[#This Row],[제조번호]],Merge1[[#This Row],[지시수량]])</f>
        <v>아주오메프라졸캡슐20MG 반제품
1015600
A002958
500000</v>
      </c>
    </row>
    <row r="419" spans="1:13" ht="54" x14ac:dyDescent="0.25">
      <c r="A419" t="s">
        <v>200</v>
      </c>
      <c r="B419" t="s">
        <v>297</v>
      </c>
      <c r="C419" t="s">
        <v>298</v>
      </c>
      <c r="D419" t="s">
        <v>30</v>
      </c>
      <c r="E419" t="s">
        <v>31</v>
      </c>
      <c r="F419" t="s">
        <v>299</v>
      </c>
      <c r="G419">
        <v>120</v>
      </c>
      <c r="H419" t="s">
        <v>11</v>
      </c>
      <c r="I419" t="s">
        <v>241</v>
      </c>
      <c r="J419">
        <v>500000</v>
      </c>
      <c r="K419">
        <v>18</v>
      </c>
      <c r="L419">
        <f>VLOOKUP(Merge1[[#This Row],[제품코드]],공정중_우선순위[[제품코드]:[우선순위]],4,0)</f>
        <v>42</v>
      </c>
      <c r="M419" s="10" t="str">
        <f>_xlfn.TEXTJOIN(CHAR(10), TRUE, ,Merge1[[#This Row],[제품명]],Merge1[[#This Row],[오더번호]],Merge1[[#This Row],[제조번호]],Merge1[[#This Row],[지시수량]])</f>
        <v>아주오메프라졸캡슐20MG 반제품
1015600
A002958
500000</v>
      </c>
    </row>
    <row r="420" spans="1:13" ht="54" x14ac:dyDescent="0.25">
      <c r="A420" t="s">
        <v>200</v>
      </c>
      <c r="B420" t="s">
        <v>297</v>
      </c>
      <c r="C420" t="s">
        <v>298</v>
      </c>
      <c r="D420" t="s">
        <v>30</v>
      </c>
      <c r="E420" t="s">
        <v>31</v>
      </c>
      <c r="F420" t="s">
        <v>299</v>
      </c>
      <c r="G420">
        <v>120</v>
      </c>
      <c r="H420" t="s">
        <v>11</v>
      </c>
      <c r="I420" t="s">
        <v>241</v>
      </c>
      <c r="J420">
        <v>500000</v>
      </c>
      <c r="K420">
        <v>18</v>
      </c>
      <c r="L420">
        <f>VLOOKUP(Merge1[[#This Row],[제품코드]],공정중_우선순위[[제품코드]:[우선순위]],4,0)</f>
        <v>42</v>
      </c>
      <c r="M420" s="10" t="str">
        <f>_xlfn.TEXTJOIN(CHAR(10), TRUE, ,Merge1[[#This Row],[제품명]],Merge1[[#This Row],[오더번호]],Merge1[[#This Row],[제조번호]],Merge1[[#This Row],[지시수량]])</f>
        <v>아주오메프라졸캡슐20MG 반제품
1015600
A002958
500000</v>
      </c>
    </row>
    <row r="421" spans="1:13" ht="54" x14ac:dyDescent="0.25">
      <c r="A421" t="s">
        <v>200</v>
      </c>
      <c r="B421" t="s">
        <v>334</v>
      </c>
      <c r="C421" t="s">
        <v>412</v>
      </c>
      <c r="D421" t="s">
        <v>80</v>
      </c>
      <c r="E421" t="s">
        <v>81</v>
      </c>
      <c r="F421" t="s">
        <v>413</v>
      </c>
      <c r="G421">
        <v>110</v>
      </c>
      <c r="H421" t="s">
        <v>6</v>
      </c>
      <c r="I421" t="s">
        <v>211</v>
      </c>
      <c r="J421">
        <v>600000</v>
      </c>
      <c r="K421">
        <v>15</v>
      </c>
      <c r="L421">
        <f>VLOOKUP(Merge1[[#This Row],[제품코드]],공정중_우선순위[[제품코드]:[우선순위]],4,0)</f>
        <v>43</v>
      </c>
      <c r="M421" s="10" t="str">
        <f>_xlfn.TEXTJOIN(CHAR(10), TRUE, ,Merge1[[#This Row],[제품명]],Merge1[[#This Row],[오더번호]],Merge1[[#This Row],[제조번호]],Merge1[[#This Row],[지시수량]])</f>
        <v>비디텍정25MG 반제품 (영일제약)
1014976
25004
600000</v>
      </c>
    </row>
    <row r="422" spans="1:13" ht="54" x14ac:dyDescent="0.25">
      <c r="A422" t="s">
        <v>200</v>
      </c>
      <c r="B422" t="s">
        <v>334</v>
      </c>
      <c r="C422" t="s">
        <v>414</v>
      </c>
      <c r="D422" t="s">
        <v>80</v>
      </c>
      <c r="E422" t="s">
        <v>81</v>
      </c>
      <c r="F422" t="s">
        <v>415</v>
      </c>
      <c r="G422">
        <v>110</v>
      </c>
      <c r="H422" t="s">
        <v>6</v>
      </c>
      <c r="I422" t="s">
        <v>211</v>
      </c>
      <c r="J422">
        <v>600000</v>
      </c>
      <c r="K422">
        <v>15</v>
      </c>
      <c r="L422">
        <f>VLOOKUP(Merge1[[#This Row],[제품코드]],공정중_우선순위[[제품코드]:[우선순위]],4,0)</f>
        <v>43</v>
      </c>
      <c r="M422" s="10" t="str">
        <f>_xlfn.TEXTJOIN(CHAR(10), TRUE, ,Merge1[[#This Row],[제품명]],Merge1[[#This Row],[오더번호]],Merge1[[#This Row],[제조번호]],Merge1[[#This Row],[지시수량]])</f>
        <v>비디텍정25MG 반제품 (영일제약)
1015041
25005
600000</v>
      </c>
    </row>
    <row r="423" spans="1:13" ht="54" x14ac:dyDescent="0.25">
      <c r="A423" t="s">
        <v>200</v>
      </c>
      <c r="B423" t="s">
        <v>334</v>
      </c>
      <c r="C423" t="s">
        <v>416</v>
      </c>
      <c r="D423" t="s">
        <v>80</v>
      </c>
      <c r="E423" t="s">
        <v>81</v>
      </c>
      <c r="F423" t="s">
        <v>417</v>
      </c>
      <c r="G423">
        <v>110</v>
      </c>
      <c r="H423" t="s">
        <v>6</v>
      </c>
      <c r="I423" t="s">
        <v>211</v>
      </c>
      <c r="J423">
        <v>600000</v>
      </c>
      <c r="K423">
        <v>15</v>
      </c>
      <c r="L423">
        <f>VLOOKUP(Merge1[[#This Row],[제품코드]],공정중_우선순위[[제품코드]:[우선순위]],4,0)</f>
        <v>43</v>
      </c>
      <c r="M423" s="10" t="str">
        <f>_xlfn.TEXTJOIN(CHAR(10), TRUE, ,Merge1[[#This Row],[제품명]],Merge1[[#This Row],[오더번호]],Merge1[[#This Row],[제조번호]],Merge1[[#This Row],[지시수량]])</f>
        <v>비디텍정25MG 반제품 (영일제약)
1015048
25006
600000</v>
      </c>
    </row>
    <row r="424" spans="1:13" ht="54" x14ac:dyDescent="0.25">
      <c r="A424" t="s">
        <v>200</v>
      </c>
      <c r="B424" t="s">
        <v>334</v>
      </c>
      <c r="C424" t="s">
        <v>335</v>
      </c>
      <c r="D424" t="s">
        <v>38</v>
      </c>
      <c r="E424" t="s">
        <v>39</v>
      </c>
      <c r="F424" t="s">
        <v>336</v>
      </c>
      <c r="G424">
        <v>60</v>
      </c>
      <c r="H424" t="s">
        <v>5</v>
      </c>
      <c r="I424" t="s">
        <v>320</v>
      </c>
      <c r="J424">
        <v>600000</v>
      </c>
      <c r="K424">
        <v>20</v>
      </c>
      <c r="L424">
        <f>VLOOKUP(Merge1[[#This Row],[제품코드]],공정중_우선순위[[제품코드]:[우선순위]],4,0)</f>
        <v>44</v>
      </c>
      <c r="M424" s="10" t="str">
        <f>_xlfn.TEXTJOIN(CHAR(10), TRUE, ,Merge1[[#This Row],[제품명]],Merge1[[#This Row],[오더번호]],Merge1[[#This Row],[제조번호]],Merge1[[#This Row],[지시수량]])</f>
        <v>오미탄정25MG 반제품
1015433
A002904
600000</v>
      </c>
    </row>
    <row r="425" spans="1:13" ht="54" x14ac:dyDescent="0.25">
      <c r="A425" t="s">
        <v>200</v>
      </c>
      <c r="B425" t="s">
        <v>334</v>
      </c>
      <c r="C425" t="s">
        <v>337</v>
      </c>
      <c r="D425" t="s">
        <v>38</v>
      </c>
      <c r="E425" t="s">
        <v>39</v>
      </c>
      <c r="F425" t="s">
        <v>338</v>
      </c>
      <c r="G425">
        <v>60</v>
      </c>
      <c r="H425" t="s">
        <v>5</v>
      </c>
      <c r="I425" t="s">
        <v>320</v>
      </c>
      <c r="J425">
        <v>600000</v>
      </c>
      <c r="K425">
        <v>20</v>
      </c>
      <c r="L425">
        <f>VLOOKUP(Merge1[[#This Row],[제품코드]],공정중_우선순위[[제품코드]:[우선순위]],4,0)</f>
        <v>44</v>
      </c>
      <c r="M425" s="10" t="str">
        <f>_xlfn.TEXTJOIN(CHAR(10), TRUE, ,Merge1[[#This Row],[제품명]],Merge1[[#This Row],[오더번호]],Merge1[[#This Row],[제조번호]],Merge1[[#This Row],[지시수량]])</f>
        <v>오미탄정25MG 반제품
1015434
A002905
600000</v>
      </c>
    </row>
    <row r="426" spans="1:13" ht="54" x14ac:dyDescent="0.25">
      <c r="A426" t="s">
        <v>200</v>
      </c>
      <c r="B426" t="s">
        <v>334</v>
      </c>
      <c r="C426" t="s">
        <v>335</v>
      </c>
      <c r="D426" t="s">
        <v>38</v>
      </c>
      <c r="E426" t="s">
        <v>39</v>
      </c>
      <c r="F426" t="s">
        <v>336</v>
      </c>
      <c r="G426">
        <v>110</v>
      </c>
      <c r="H426" t="s">
        <v>6</v>
      </c>
      <c r="I426" t="s">
        <v>211</v>
      </c>
      <c r="J426">
        <v>600000</v>
      </c>
      <c r="K426">
        <v>15</v>
      </c>
      <c r="L426">
        <f>VLOOKUP(Merge1[[#This Row],[제품코드]],공정중_우선순위[[제품코드]:[우선순위]],4,0)</f>
        <v>44</v>
      </c>
      <c r="M426" s="10" t="str">
        <f>_xlfn.TEXTJOIN(CHAR(10), TRUE, ,Merge1[[#This Row],[제품명]],Merge1[[#This Row],[오더번호]],Merge1[[#This Row],[제조번호]],Merge1[[#This Row],[지시수량]])</f>
        <v>오미탄정25MG 반제품
1015433
A002904
600000</v>
      </c>
    </row>
    <row r="427" spans="1:13" ht="54" x14ac:dyDescent="0.25">
      <c r="A427" t="s">
        <v>200</v>
      </c>
      <c r="B427" t="s">
        <v>334</v>
      </c>
      <c r="C427" t="s">
        <v>337</v>
      </c>
      <c r="D427" t="s">
        <v>38</v>
      </c>
      <c r="E427" t="s">
        <v>39</v>
      </c>
      <c r="F427" t="s">
        <v>338</v>
      </c>
      <c r="G427">
        <v>110</v>
      </c>
      <c r="H427" t="s">
        <v>6</v>
      </c>
      <c r="I427" t="s">
        <v>211</v>
      </c>
      <c r="J427">
        <v>600000</v>
      </c>
      <c r="K427">
        <v>15</v>
      </c>
      <c r="L427">
        <f>VLOOKUP(Merge1[[#This Row],[제품코드]],공정중_우선순위[[제품코드]:[우선순위]],4,0)</f>
        <v>44</v>
      </c>
      <c r="M427" s="10" t="str">
        <f>_xlfn.TEXTJOIN(CHAR(10), TRUE, ,Merge1[[#This Row],[제품명]],Merge1[[#This Row],[오더번호]],Merge1[[#This Row],[제조번호]],Merge1[[#This Row],[지시수량]])</f>
        <v>오미탄정25MG 반제품
1015434
A002905
600000</v>
      </c>
    </row>
    <row r="428" spans="1:13" ht="54" x14ac:dyDescent="0.25">
      <c r="A428" t="s">
        <v>200</v>
      </c>
      <c r="B428" t="s">
        <v>344</v>
      </c>
      <c r="C428" t="s">
        <v>345</v>
      </c>
      <c r="D428" t="s">
        <v>42</v>
      </c>
      <c r="E428" t="s">
        <v>43</v>
      </c>
      <c r="F428" t="s">
        <v>346</v>
      </c>
      <c r="G428">
        <v>70</v>
      </c>
      <c r="H428" t="s">
        <v>10</v>
      </c>
      <c r="I428" t="s">
        <v>238</v>
      </c>
      <c r="J428">
        <v>1600000</v>
      </c>
      <c r="K428">
        <v>42</v>
      </c>
      <c r="L428">
        <f>VLOOKUP(Merge1[[#This Row],[제품코드]],공정중_우선순위[[제품코드]:[우선순위]],4,0)</f>
        <v>45</v>
      </c>
      <c r="M428" s="10" t="str">
        <f>_xlfn.TEXTJOIN(CHAR(10), TRUE, ,Merge1[[#This Row],[제품명]],Merge1[[#This Row],[오더번호]],Merge1[[#This Row],[제조번호]],Merge1[[#This Row],[지시수량]])</f>
        <v>유로박솜캡슐60MG 반제품
1015597
A002955
1600000</v>
      </c>
    </row>
    <row r="429" spans="1:13" ht="54" x14ac:dyDescent="0.25">
      <c r="A429" t="s">
        <v>200</v>
      </c>
      <c r="B429" t="s">
        <v>344</v>
      </c>
      <c r="C429" t="s">
        <v>347</v>
      </c>
      <c r="D429" t="s">
        <v>42</v>
      </c>
      <c r="E429" t="s">
        <v>43</v>
      </c>
      <c r="F429" t="s">
        <v>348</v>
      </c>
      <c r="G429">
        <v>70</v>
      </c>
      <c r="H429" t="s">
        <v>10</v>
      </c>
      <c r="I429" t="s">
        <v>238</v>
      </c>
      <c r="J429">
        <v>1600000</v>
      </c>
      <c r="K429">
        <v>42</v>
      </c>
      <c r="L429">
        <f>VLOOKUP(Merge1[[#This Row],[제품코드]],공정중_우선순위[[제품코드]:[우선순위]],4,0)</f>
        <v>45</v>
      </c>
      <c r="M429" s="10" t="str">
        <f>_xlfn.TEXTJOIN(CHAR(10), TRUE, ,Merge1[[#This Row],[제품명]],Merge1[[#This Row],[오더번호]],Merge1[[#This Row],[제조번호]],Merge1[[#This Row],[지시수량]])</f>
        <v>유로박솜캡슐60MG 반제품
1015598
A002956
1600000</v>
      </c>
    </row>
    <row r="430" spans="1:13" ht="54" x14ac:dyDescent="0.25">
      <c r="A430" t="s">
        <v>200</v>
      </c>
      <c r="B430" t="s">
        <v>344</v>
      </c>
      <c r="C430" t="s">
        <v>349</v>
      </c>
      <c r="D430" t="s">
        <v>42</v>
      </c>
      <c r="E430" t="s">
        <v>43</v>
      </c>
      <c r="F430" t="s">
        <v>350</v>
      </c>
      <c r="G430">
        <v>70</v>
      </c>
      <c r="H430" t="s">
        <v>10</v>
      </c>
      <c r="I430" t="s">
        <v>238</v>
      </c>
      <c r="J430">
        <v>1600000</v>
      </c>
      <c r="K430">
        <v>42</v>
      </c>
      <c r="L430">
        <f>VLOOKUP(Merge1[[#This Row],[제품코드]],공정중_우선순위[[제품코드]:[우선순위]],4,0)</f>
        <v>45</v>
      </c>
      <c r="M430" s="10" t="str">
        <f>_xlfn.TEXTJOIN(CHAR(10), TRUE, ,Merge1[[#This Row],[제품명]],Merge1[[#This Row],[오더번호]],Merge1[[#This Row],[제조번호]],Merge1[[#This Row],[지시수량]])</f>
        <v>유로박솜캡슐60MG 반제품
1015599
A002957
1600000</v>
      </c>
    </row>
    <row r="431" spans="1:13" ht="54" x14ac:dyDescent="0.25">
      <c r="A431" t="s">
        <v>200</v>
      </c>
      <c r="B431" t="s">
        <v>344</v>
      </c>
      <c r="C431" t="s">
        <v>345</v>
      </c>
      <c r="D431" t="s">
        <v>42</v>
      </c>
      <c r="E431" t="s">
        <v>43</v>
      </c>
      <c r="F431" t="s">
        <v>346</v>
      </c>
      <c r="G431">
        <v>110</v>
      </c>
      <c r="H431" t="s">
        <v>6</v>
      </c>
      <c r="I431" t="s">
        <v>211</v>
      </c>
      <c r="J431">
        <v>1600000</v>
      </c>
      <c r="K431">
        <v>35</v>
      </c>
      <c r="L431">
        <f>VLOOKUP(Merge1[[#This Row],[제품코드]],공정중_우선순위[[제품코드]:[우선순위]],4,0)</f>
        <v>45</v>
      </c>
      <c r="M431" s="10" t="str">
        <f>_xlfn.TEXTJOIN(CHAR(10), TRUE, ,Merge1[[#This Row],[제품명]],Merge1[[#This Row],[오더번호]],Merge1[[#This Row],[제조번호]],Merge1[[#This Row],[지시수량]])</f>
        <v>유로박솜캡슐60MG 반제품
1015597
A002955
1600000</v>
      </c>
    </row>
    <row r="432" spans="1:13" ht="54" x14ac:dyDescent="0.25">
      <c r="A432" t="s">
        <v>200</v>
      </c>
      <c r="B432" t="s">
        <v>344</v>
      </c>
      <c r="C432" t="s">
        <v>347</v>
      </c>
      <c r="D432" t="s">
        <v>42</v>
      </c>
      <c r="E432" t="s">
        <v>43</v>
      </c>
      <c r="F432" t="s">
        <v>348</v>
      </c>
      <c r="G432">
        <v>110</v>
      </c>
      <c r="H432" t="s">
        <v>6</v>
      </c>
      <c r="I432" t="s">
        <v>211</v>
      </c>
      <c r="J432">
        <v>1600000</v>
      </c>
      <c r="K432">
        <v>35</v>
      </c>
      <c r="L432">
        <f>VLOOKUP(Merge1[[#This Row],[제품코드]],공정중_우선순위[[제품코드]:[우선순위]],4,0)</f>
        <v>45</v>
      </c>
      <c r="M432" s="10" t="str">
        <f>_xlfn.TEXTJOIN(CHAR(10), TRUE, ,Merge1[[#This Row],[제품명]],Merge1[[#This Row],[오더번호]],Merge1[[#This Row],[제조번호]],Merge1[[#This Row],[지시수량]])</f>
        <v>유로박솜캡슐60MG 반제품
1015598
A002956
1600000</v>
      </c>
    </row>
    <row r="433" spans="1:13" ht="54" x14ac:dyDescent="0.25">
      <c r="A433" t="s">
        <v>200</v>
      </c>
      <c r="B433" t="s">
        <v>344</v>
      </c>
      <c r="C433" t="s">
        <v>349</v>
      </c>
      <c r="D433" t="s">
        <v>42</v>
      </c>
      <c r="E433" t="s">
        <v>43</v>
      </c>
      <c r="F433" t="s">
        <v>350</v>
      </c>
      <c r="G433">
        <v>110</v>
      </c>
      <c r="H433" t="s">
        <v>6</v>
      </c>
      <c r="I433" t="s">
        <v>211</v>
      </c>
      <c r="J433">
        <v>1600000</v>
      </c>
      <c r="K433">
        <v>35</v>
      </c>
      <c r="L433">
        <f>VLOOKUP(Merge1[[#This Row],[제품코드]],공정중_우선순위[[제품코드]:[우선순위]],4,0)</f>
        <v>45</v>
      </c>
      <c r="M433" s="10" t="str">
        <f>_xlfn.TEXTJOIN(CHAR(10), TRUE, ,Merge1[[#This Row],[제품명]],Merge1[[#This Row],[오더번호]],Merge1[[#This Row],[제조번호]],Merge1[[#This Row],[지시수량]])</f>
        <v>유로박솜캡슐60MG 반제품
1015599
A002957
1600000</v>
      </c>
    </row>
    <row r="434" spans="1:13" ht="54" x14ac:dyDescent="0.25">
      <c r="A434" t="s">
        <v>200</v>
      </c>
      <c r="B434" t="s">
        <v>344</v>
      </c>
      <c r="C434" t="s">
        <v>351</v>
      </c>
      <c r="D434" t="s">
        <v>42</v>
      </c>
      <c r="E434" t="s">
        <v>43</v>
      </c>
      <c r="F434" t="s">
        <v>352</v>
      </c>
      <c r="G434">
        <v>120</v>
      </c>
      <c r="H434" t="s">
        <v>11</v>
      </c>
      <c r="I434" t="s">
        <v>241</v>
      </c>
      <c r="J434">
        <v>1600000</v>
      </c>
      <c r="K434">
        <v>31</v>
      </c>
      <c r="L434">
        <f>VLOOKUP(Merge1[[#This Row],[제품코드]],공정중_우선순위[[제품코드]:[우선순위]],4,0)</f>
        <v>45</v>
      </c>
      <c r="M434" s="10" t="str">
        <f>_xlfn.TEXTJOIN(CHAR(10), TRUE, ,Merge1[[#This Row],[제품명]],Merge1[[#This Row],[오더번호]],Merge1[[#This Row],[제조번호]],Merge1[[#This Row],[지시수량]])</f>
        <v>유로박솜캡슐60MG 반제품
1015106
A002839
1600000</v>
      </c>
    </row>
    <row r="435" spans="1:13" ht="54" x14ac:dyDescent="0.25">
      <c r="A435" t="s">
        <v>200</v>
      </c>
      <c r="B435" t="s">
        <v>344</v>
      </c>
      <c r="C435" t="s">
        <v>353</v>
      </c>
      <c r="D435" t="s">
        <v>42</v>
      </c>
      <c r="E435" t="s">
        <v>43</v>
      </c>
      <c r="F435" t="s">
        <v>354</v>
      </c>
      <c r="G435">
        <v>120</v>
      </c>
      <c r="H435" t="s">
        <v>11</v>
      </c>
      <c r="I435" t="s">
        <v>241</v>
      </c>
      <c r="J435">
        <v>1600000</v>
      </c>
      <c r="K435">
        <v>31</v>
      </c>
      <c r="L435">
        <f>VLOOKUP(Merge1[[#This Row],[제품코드]],공정중_우선순위[[제품코드]:[우선순위]],4,0)</f>
        <v>45</v>
      </c>
      <c r="M435" s="10" t="str">
        <f>_xlfn.TEXTJOIN(CHAR(10), TRUE, ,Merge1[[#This Row],[제품명]],Merge1[[#This Row],[오더번호]],Merge1[[#This Row],[제조번호]],Merge1[[#This Row],[지시수량]])</f>
        <v>유로박솜캡슐60MG 반제품
1015107
A002840
1600000</v>
      </c>
    </row>
    <row r="436" spans="1:13" ht="54" x14ac:dyDescent="0.25">
      <c r="A436" t="s">
        <v>200</v>
      </c>
      <c r="B436" t="s">
        <v>344</v>
      </c>
      <c r="C436" t="s">
        <v>345</v>
      </c>
      <c r="D436" t="s">
        <v>42</v>
      </c>
      <c r="E436" t="s">
        <v>43</v>
      </c>
      <c r="F436" t="s">
        <v>346</v>
      </c>
      <c r="G436">
        <v>120</v>
      </c>
      <c r="H436" t="s">
        <v>11</v>
      </c>
      <c r="I436" t="s">
        <v>241</v>
      </c>
      <c r="J436">
        <v>1600000</v>
      </c>
      <c r="K436">
        <v>31</v>
      </c>
      <c r="L436">
        <f>VLOOKUP(Merge1[[#This Row],[제품코드]],공정중_우선순위[[제품코드]:[우선순위]],4,0)</f>
        <v>45</v>
      </c>
      <c r="M436" s="10" t="str">
        <f>_xlfn.TEXTJOIN(CHAR(10), TRUE, ,Merge1[[#This Row],[제품명]],Merge1[[#This Row],[오더번호]],Merge1[[#This Row],[제조번호]],Merge1[[#This Row],[지시수량]])</f>
        <v>유로박솜캡슐60MG 반제품
1015597
A002955
1600000</v>
      </c>
    </row>
    <row r="437" spans="1:13" ht="54" x14ac:dyDescent="0.25">
      <c r="A437" t="s">
        <v>200</v>
      </c>
      <c r="B437" t="s">
        <v>344</v>
      </c>
      <c r="C437" t="s">
        <v>347</v>
      </c>
      <c r="D437" t="s">
        <v>42</v>
      </c>
      <c r="E437" t="s">
        <v>43</v>
      </c>
      <c r="F437" t="s">
        <v>348</v>
      </c>
      <c r="G437">
        <v>120</v>
      </c>
      <c r="H437" t="s">
        <v>11</v>
      </c>
      <c r="I437" t="s">
        <v>241</v>
      </c>
      <c r="J437">
        <v>1600000</v>
      </c>
      <c r="K437">
        <v>31</v>
      </c>
      <c r="L437">
        <f>VLOOKUP(Merge1[[#This Row],[제품코드]],공정중_우선순위[[제품코드]:[우선순위]],4,0)</f>
        <v>45</v>
      </c>
      <c r="M437" s="10" t="str">
        <f>_xlfn.TEXTJOIN(CHAR(10), TRUE, ,Merge1[[#This Row],[제품명]],Merge1[[#This Row],[오더번호]],Merge1[[#This Row],[제조번호]],Merge1[[#This Row],[지시수량]])</f>
        <v>유로박솜캡슐60MG 반제품
1015598
A002956
1600000</v>
      </c>
    </row>
    <row r="438" spans="1:13" ht="54" x14ac:dyDescent="0.25">
      <c r="A438" t="s">
        <v>200</v>
      </c>
      <c r="B438" t="s">
        <v>344</v>
      </c>
      <c r="C438" t="s">
        <v>349</v>
      </c>
      <c r="D438" t="s">
        <v>42</v>
      </c>
      <c r="E438" t="s">
        <v>43</v>
      </c>
      <c r="F438" t="s">
        <v>350</v>
      </c>
      <c r="G438">
        <v>120</v>
      </c>
      <c r="H438" t="s">
        <v>11</v>
      </c>
      <c r="I438" t="s">
        <v>241</v>
      </c>
      <c r="J438">
        <v>1600000</v>
      </c>
      <c r="K438">
        <v>31</v>
      </c>
      <c r="L438">
        <f>VLOOKUP(Merge1[[#This Row],[제품코드]],공정중_우선순위[[제품코드]:[우선순위]],4,0)</f>
        <v>45</v>
      </c>
      <c r="M438" s="10" t="str">
        <f>_xlfn.TEXTJOIN(CHAR(10), TRUE, ,Merge1[[#This Row],[제품명]],Merge1[[#This Row],[오더번호]],Merge1[[#This Row],[제조번호]],Merge1[[#This Row],[지시수량]])</f>
        <v>유로박솜캡슐60MG 반제품
1015599
A002957
1600000</v>
      </c>
    </row>
    <row r="439" spans="1:13" ht="54" x14ac:dyDescent="0.25">
      <c r="A439" t="s">
        <v>200</v>
      </c>
      <c r="B439" t="s">
        <v>361</v>
      </c>
      <c r="C439" t="s">
        <v>362</v>
      </c>
      <c r="D439" t="s">
        <v>46</v>
      </c>
      <c r="E439" t="s">
        <v>47</v>
      </c>
      <c r="F439" t="s">
        <v>363</v>
      </c>
      <c r="G439">
        <v>110</v>
      </c>
      <c r="H439" t="s">
        <v>6</v>
      </c>
      <c r="I439" t="s">
        <v>234</v>
      </c>
      <c r="J439">
        <v>1000000</v>
      </c>
      <c r="K439">
        <v>27</v>
      </c>
      <c r="L439">
        <f>VLOOKUP(Merge1[[#This Row],[제품코드]],공정중_우선순위[[제품코드]:[우선순위]],4,0)</f>
        <v>46</v>
      </c>
      <c r="M439" s="10" t="str">
        <f>_xlfn.TEXTJOIN(CHAR(10), TRUE, ,Merge1[[#This Row],[제품명]],Merge1[[#This Row],[오더번호]],Merge1[[#This Row],[제조번호]],Merge1[[#This Row],[지시수량]])</f>
        <v>정장생캡슐250MG 반제품
1015101
A002836
1000000</v>
      </c>
    </row>
    <row r="440" spans="1:13" ht="54" x14ac:dyDescent="0.25">
      <c r="A440" t="s">
        <v>200</v>
      </c>
      <c r="B440" t="s">
        <v>361</v>
      </c>
      <c r="C440" t="s">
        <v>364</v>
      </c>
      <c r="D440" t="s">
        <v>46</v>
      </c>
      <c r="E440" t="s">
        <v>47</v>
      </c>
      <c r="F440" t="s">
        <v>365</v>
      </c>
      <c r="G440">
        <v>110</v>
      </c>
      <c r="H440" t="s">
        <v>6</v>
      </c>
      <c r="I440" t="s">
        <v>234</v>
      </c>
      <c r="J440">
        <v>1000000</v>
      </c>
      <c r="K440">
        <v>27</v>
      </c>
      <c r="L440">
        <f>VLOOKUP(Merge1[[#This Row],[제품코드]],공정중_우선순위[[제품코드]:[우선순위]],4,0)</f>
        <v>46</v>
      </c>
      <c r="M440" s="10" t="str">
        <f>_xlfn.TEXTJOIN(CHAR(10), TRUE, ,Merge1[[#This Row],[제품명]],Merge1[[#This Row],[오더번호]],Merge1[[#This Row],[제조번호]],Merge1[[#This Row],[지시수량]])</f>
        <v>정장생캡슐250MG 반제품
1015102
A002837
1000000</v>
      </c>
    </row>
    <row r="441" spans="1:13" ht="54" x14ac:dyDescent="0.25">
      <c r="A441" t="s">
        <v>200</v>
      </c>
      <c r="B441" t="s">
        <v>361</v>
      </c>
      <c r="C441" t="s">
        <v>366</v>
      </c>
      <c r="D441" t="s">
        <v>46</v>
      </c>
      <c r="E441" t="s">
        <v>47</v>
      </c>
      <c r="F441" t="s">
        <v>367</v>
      </c>
      <c r="G441">
        <v>110</v>
      </c>
      <c r="H441" t="s">
        <v>6</v>
      </c>
      <c r="I441" t="s">
        <v>234</v>
      </c>
      <c r="J441">
        <v>1000000</v>
      </c>
      <c r="K441">
        <v>27</v>
      </c>
      <c r="L441">
        <f>VLOOKUP(Merge1[[#This Row],[제품코드]],공정중_우선순위[[제품코드]:[우선순위]],4,0)</f>
        <v>46</v>
      </c>
      <c r="M441" s="10" t="str">
        <f>_xlfn.TEXTJOIN(CHAR(10), TRUE, ,Merge1[[#This Row],[제품명]],Merge1[[#This Row],[오더번호]],Merge1[[#This Row],[제조번호]],Merge1[[#This Row],[지시수량]])</f>
        <v>정장생캡슐250MG 반제품
1015103
A002838
1000000</v>
      </c>
    </row>
    <row r="442" spans="1:13" ht="54" x14ac:dyDescent="0.25">
      <c r="A442" t="s">
        <v>200</v>
      </c>
      <c r="B442" t="s">
        <v>361</v>
      </c>
      <c r="C442" t="s">
        <v>362</v>
      </c>
      <c r="D442" t="s">
        <v>46</v>
      </c>
      <c r="E442" t="s">
        <v>47</v>
      </c>
      <c r="F442" t="s">
        <v>363</v>
      </c>
      <c r="G442">
        <v>120</v>
      </c>
      <c r="H442" t="s">
        <v>11</v>
      </c>
      <c r="I442" t="s">
        <v>241</v>
      </c>
      <c r="J442">
        <v>1000000</v>
      </c>
      <c r="K442">
        <v>52</v>
      </c>
      <c r="L442">
        <f>VLOOKUP(Merge1[[#This Row],[제품코드]],공정중_우선순위[[제품코드]:[우선순위]],4,0)</f>
        <v>46</v>
      </c>
      <c r="M442" s="10" t="str">
        <f>_xlfn.TEXTJOIN(CHAR(10), TRUE, ,Merge1[[#This Row],[제품명]],Merge1[[#This Row],[오더번호]],Merge1[[#This Row],[제조번호]],Merge1[[#This Row],[지시수량]])</f>
        <v>정장생캡슐250MG 반제품
1015101
A002836
1000000</v>
      </c>
    </row>
    <row r="443" spans="1:13" ht="54" x14ac:dyDescent="0.25">
      <c r="A443" t="s">
        <v>200</v>
      </c>
      <c r="B443" t="s">
        <v>361</v>
      </c>
      <c r="C443" t="s">
        <v>364</v>
      </c>
      <c r="D443" t="s">
        <v>46</v>
      </c>
      <c r="E443" t="s">
        <v>47</v>
      </c>
      <c r="F443" t="s">
        <v>365</v>
      </c>
      <c r="G443">
        <v>120</v>
      </c>
      <c r="H443" t="s">
        <v>11</v>
      </c>
      <c r="I443" t="s">
        <v>241</v>
      </c>
      <c r="J443">
        <v>1000000</v>
      </c>
      <c r="K443">
        <v>52</v>
      </c>
      <c r="L443">
        <f>VLOOKUP(Merge1[[#This Row],[제품코드]],공정중_우선순위[[제품코드]:[우선순위]],4,0)</f>
        <v>46</v>
      </c>
      <c r="M443" s="10" t="str">
        <f>_xlfn.TEXTJOIN(CHAR(10), TRUE, ,Merge1[[#This Row],[제품명]],Merge1[[#This Row],[오더번호]],Merge1[[#This Row],[제조번호]],Merge1[[#This Row],[지시수량]])</f>
        <v>정장생캡슐250MG 반제품
1015102
A002837
1000000</v>
      </c>
    </row>
    <row r="444" spans="1:13" ht="54" x14ac:dyDescent="0.25">
      <c r="A444" t="s">
        <v>200</v>
      </c>
      <c r="B444" t="s">
        <v>361</v>
      </c>
      <c r="C444" t="s">
        <v>366</v>
      </c>
      <c r="D444" t="s">
        <v>46</v>
      </c>
      <c r="E444" t="s">
        <v>47</v>
      </c>
      <c r="F444" t="s">
        <v>367</v>
      </c>
      <c r="G444">
        <v>120</v>
      </c>
      <c r="H444" t="s">
        <v>11</v>
      </c>
      <c r="I444" t="s">
        <v>241</v>
      </c>
      <c r="J444">
        <v>1000000</v>
      </c>
      <c r="K444">
        <v>52</v>
      </c>
      <c r="L444">
        <f>VLOOKUP(Merge1[[#This Row],[제품코드]],공정중_우선순위[[제품코드]:[우선순위]],4,0)</f>
        <v>46</v>
      </c>
      <c r="M444" s="10" t="str">
        <f>_xlfn.TEXTJOIN(CHAR(10), TRUE, ,Merge1[[#This Row],[제품명]],Merge1[[#This Row],[오더번호]],Merge1[[#This Row],[제조번호]],Merge1[[#This Row],[지시수량]])</f>
        <v>정장생캡슐250MG 반제품
1015103
A002838
1000000</v>
      </c>
    </row>
    <row r="445" spans="1:13" ht="54" x14ac:dyDescent="0.25">
      <c r="A445" t="s">
        <v>200</v>
      </c>
      <c r="B445" t="s">
        <v>355</v>
      </c>
      <c r="C445" t="s">
        <v>356</v>
      </c>
      <c r="D445" t="s">
        <v>44</v>
      </c>
      <c r="E445" t="s">
        <v>45</v>
      </c>
      <c r="F445" t="s">
        <v>357</v>
      </c>
      <c r="G445">
        <v>60</v>
      </c>
      <c r="H445" t="s">
        <v>5</v>
      </c>
      <c r="I445" t="s">
        <v>358</v>
      </c>
      <c r="J445">
        <v>200000</v>
      </c>
      <c r="K445">
        <v>24</v>
      </c>
      <c r="L445">
        <f>VLOOKUP(Merge1[[#This Row],[제품코드]],공정중_우선순위[[제품코드]:[우선순위]],4,0)</f>
        <v>47</v>
      </c>
      <c r="M445" s="10" t="str">
        <f>_xlfn.TEXTJOIN(CHAR(10), TRUE, ,Merge1[[#This Row],[제품명]],Merge1[[#This Row],[오더번호]],Merge1[[#This Row],[제조번호]],Merge1[[#This Row],[지시수량]])</f>
        <v>제로시드정20/1100 반제품
1015459
A002909
200000</v>
      </c>
    </row>
    <row r="446" spans="1:13" ht="54" x14ac:dyDescent="0.25">
      <c r="A446" t="s">
        <v>200</v>
      </c>
      <c r="B446" t="s">
        <v>355</v>
      </c>
      <c r="C446" t="s">
        <v>359</v>
      </c>
      <c r="D446" t="s">
        <v>44</v>
      </c>
      <c r="E446" t="s">
        <v>45</v>
      </c>
      <c r="F446" t="s">
        <v>360</v>
      </c>
      <c r="G446">
        <v>110</v>
      </c>
      <c r="H446" t="s">
        <v>6</v>
      </c>
      <c r="I446" t="s">
        <v>211</v>
      </c>
      <c r="J446">
        <v>200000</v>
      </c>
      <c r="K446">
        <v>14</v>
      </c>
      <c r="L446">
        <f>VLOOKUP(Merge1[[#This Row],[제품코드]],공정중_우선순위[[제품코드]:[우선순위]],4,0)</f>
        <v>47</v>
      </c>
      <c r="M446" s="10" t="str">
        <f>_xlfn.TEXTJOIN(CHAR(10), TRUE, ,Merge1[[#This Row],[제품명]],Merge1[[#This Row],[오더번호]],Merge1[[#This Row],[제조번호]],Merge1[[#This Row],[지시수량]])</f>
        <v>제로시드정20/1100 반제품
1015458
A002908
200000</v>
      </c>
    </row>
    <row r="447" spans="1:13" ht="54" x14ac:dyDescent="0.25">
      <c r="A447" t="s">
        <v>200</v>
      </c>
      <c r="B447" t="s">
        <v>355</v>
      </c>
      <c r="C447" t="s">
        <v>356</v>
      </c>
      <c r="D447" t="s">
        <v>44</v>
      </c>
      <c r="E447" t="s">
        <v>45</v>
      </c>
      <c r="F447" t="s">
        <v>357</v>
      </c>
      <c r="G447">
        <v>110</v>
      </c>
      <c r="H447" t="s">
        <v>6</v>
      </c>
      <c r="I447" t="s">
        <v>211</v>
      </c>
      <c r="J447">
        <v>200000</v>
      </c>
      <c r="K447">
        <v>14</v>
      </c>
      <c r="L447">
        <f>VLOOKUP(Merge1[[#This Row],[제품코드]],공정중_우선순위[[제품코드]:[우선순위]],4,0)</f>
        <v>47</v>
      </c>
      <c r="M447" s="10" t="str">
        <f>_xlfn.TEXTJOIN(CHAR(10), TRUE, ,Merge1[[#This Row],[제품명]],Merge1[[#This Row],[오더번호]],Merge1[[#This Row],[제조번호]],Merge1[[#This Row],[지시수량]])</f>
        <v>제로시드정20/1100 반제품
1015459
A002909
200000</v>
      </c>
    </row>
    <row r="448" spans="1:13" ht="67.5" x14ac:dyDescent="0.25">
      <c r="A448" t="s">
        <v>200</v>
      </c>
      <c r="B448" t="s">
        <v>266</v>
      </c>
      <c r="C448" t="s">
        <v>458</v>
      </c>
      <c r="D448" t="s">
        <v>88</v>
      </c>
      <c r="E448" t="s">
        <v>89</v>
      </c>
      <c r="F448" t="s">
        <v>459</v>
      </c>
      <c r="G448">
        <v>80</v>
      </c>
      <c r="H448" t="s">
        <v>9</v>
      </c>
      <c r="I448" t="s">
        <v>327</v>
      </c>
      <c r="J448">
        <v>600000</v>
      </c>
      <c r="K448">
        <v>10</v>
      </c>
      <c r="L448">
        <f>VLOOKUP(Merge1[[#This Row],[제품코드]],공정중_우선순위[[제품코드]:[우선순위]],4,0)</f>
        <v>48</v>
      </c>
      <c r="M448" s="10" t="str">
        <f>_xlfn.TEXTJOIN(CHAR(10), TRUE, ,Merge1[[#This Row],[제품명]],Merge1[[#This Row],[오더번호]],Merge1[[#This Row],[제조번호]],Merge1[[#This Row],[지시수량]])</f>
        <v>크레트롤정10/10MG 반제품 (수출)
1015377
A002871
600000</v>
      </c>
    </row>
    <row r="449" spans="1:13" ht="67.5" x14ac:dyDescent="0.25">
      <c r="A449" t="s">
        <v>200</v>
      </c>
      <c r="B449" t="s">
        <v>266</v>
      </c>
      <c r="C449" t="s">
        <v>460</v>
      </c>
      <c r="D449" t="s">
        <v>88</v>
      </c>
      <c r="E449" t="s">
        <v>89</v>
      </c>
      <c r="F449" t="s">
        <v>461</v>
      </c>
      <c r="G449">
        <v>80</v>
      </c>
      <c r="H449" t="s">
        <v>9</v>
      </c>
      <c r="I449" t="s">
        <v>327</v>
      </c>
      <c r="J449">
        <v>600000</v>
      </c>
      <c r="K449">
        <v>10</v>
      </c>
      <c r="L449">
        <f>VLOOKUP(Merge1[[#This Row],[제품코드]],공정중_우선순위[[제품코드]:[우선순위]],4,0)</f>
        <v>48</v>
      </c>
      <c r="M449" s="10" t="str">
        <f>_xlfn.TEXTJOIN(CHAR(10), TRUE, ,Merge1[[#This Row],[제품명]],Merge1[[#This Row],[오더번호]],Merge1[[#This Row],[제조번호]],Merge1[[#This Row],[지시수량]])</f>
        <v>크레트롤정10/10MG 반제품 (수출)
1015378
A002872
600000</v>
      </c>
    </row>
    <row r="450" spans="1:13" ht="67.5" x14ac:dyDescent="0.25">
      <c r="A450" t="s">
        <v>200</v>
      </c>
      <c r="B450" t="s">
        <v>266</v>
      </c>
      <c r="C450" t="s">
        <v>462</v>
      </c>
      <c r="D450" t="s">
        <v>88</v>
      </c>
      <c r="E450" t="s">
        <v>89</v>
      </c>
      <c r="F450" t="s">
        <v>463</v>
      </c>
      <c r="G450">
        <v>80</v>
      </c>
      <c r="H450" t="s">
        <v>9</v>
      </c>
      <c r="I450" t="s">
        <v>327</v>
      </c>
      <c r="J450">
        <v>600000</v>
      </c>
      <c r="K450">
        <v>10</v>
      </c>
      <c r="L450">
        <f>VLOOKUP(Merge1[[#This Row],[제품코드]],공정중_우선순위[[제품코드]:[우선순위]],4,0)</f>
        <v>48</v>
      </c>
      <c r="M450" s="10" t="str">
        <f>_xlfn.TEXTJOIN(CHAR(10), TRUE, ,Merge1[[#This Row],[제품명]],Merge1[[#This Row],[오더번호]],Merge1[[#This Row],[제조번호]],Merge1[[#This Row],[지시수량]])</f>
        <v>크레트롤정10/10MG 반제품 (수출)
1015413
A002873
600000</v>
      </c>
    </row>
    <row r="451" spans="1:13" ht="67.5" x14ac:dyDescent="0.25">
      <c r="A451" t="s">
        <v>200</v>
      </c>
      <c r="B451" t="s">
        <v>266</v>
      </c>
      <c r="C451" t="s">
        <v>464</v>
      </c>
      <c r="D451" t="s">
        <v>88</v>
      </c>
      <c r="E451" t="s">
        <v>89</v>
      </c>
      <c r="F451" t="s">
        <v>465</v>
      </c>
      <c r="G451">
        <v>80</v>
      </c>
      <c r="H451" t="s">
        <v>9</v>
      </c>
      <c r="I451" t="s">
        <v>327</v>
      </c>
      <c r="J451">
        <v>600000</v>
      </c>
      <c r="K451">
        <v>10</v>
      </c>
      <c r="L451">
        <f>VLOOKUP(Merge1[[#This Row],[제품코드]],공정중_우선순위[[제품코드]:[우선순위]],4,0)</f>
        <v>48</v>
      </c>
      <c r="M451" s="10" t="str">
        <f>_xlfn.TEXTJOIN(CHAR(10), TRUE, ,Merge1[[#This Row],[제품명]],Merge1[[#This Row],[오더번호]],Merge1[[#This Row],[제조번호]],Merge1[[#This Row],[지시수량]])</f>
        <v>크레트롤정10/10MG 반제품 (수출)
1015414
A002874
600000</v>
      </c>
    </row>
    <row r="452" spans="1:13" ht="67.5" x14ac:dyDescent="0.25">
      <c r="A452" t="s">
        <v>200</v>
      </c>
      <c r="B452" t="s">
        <v>266</v>
      </c>
      <c r="C452" t="s">
        <v>466</v>
      </c>
      <c r="D452" t="s">
        <v>88</v>
      </c>
      <c r="E452" t="s">
        <v>89</v>
      </c>
      <c r="F452" t="s">
        <v>467</v>
      </c>
      <c r="G452">
        <v>80</v>
      </c>
      <c r="H452" t="s">
        <v>9</v>
      </c>
      <c r="I452" t="s">
        <v>327</v>
      </c>
      <c r="J452">
        <v>600000</v>
      </c>
      <c r="K452">
        <v>10</v>
      </c>
      <c r="L452">
        <f>VLOOKUP(Merge1[[#This Row],[제품코드]],공정중_우선순위[[제품코드]:[우선순위]],4,0)</f>
        <v>48</v>
      </c>
      <c r="M452" s="10" t="str">
        <f>_xlfn.TEXTJOIN(CHAR(10), TRUE, ,Merge1[[#This Row],[제품명]],Merge1[[#This Row],[오더번호]],Merge1[[#This Row],[제조번호]],Merge1[[#This Row],[지시수량]])</f>
        <v>크레트롤정10/10MG 반제품 (수출)
1015415
A002875
600000</v>
      </c>
    </row>
    <row r="453" spans="1:13" ht="67.5" x14ac:dyDescent="0.25">
      <c r="A453" t="s">
        <v>200</v>
      </c>
      <c r="B453" t="s">
        <v>266</v>
      </c>
      <c r="C453" t="s">
        <v>458</v>
      </c>
      <c r="D453" t="s">
        <v>88</v>
      </c>
      <c r="E453" t="s">
        <v>89</v>
      </c>
      <c r="F453" t="s">
        <v>459</v>
      </c>
      <c r="G453">
        <v>110</v>
      </c>
      <c r="H453" t="s">
        <v>6</v>
      </c>
      <c r="I453" t="s">
        <v>234</v>
      </c>
      <c r="J453">
        <v>600000</v>
      </c>
      <c r="K453">
        <v>4</v>
      </c>
      <c r="L453">
        <f>VLOOKUP(Merge1[[#This Row],[제품코드]],공정중_우선순위[[제품코드]:[우선순위]],4,0)</f>
        <v>48</v>
      </c>
      <c r="M453" s="10" t="str">
        <f>_xlfn.TEXTJOIN(CHAR(10), TRUE, ,Merge1[[#This Row],[제품명]],Merge1[[#This Row],[오더번호]],Merge1[[#This Row],[제조번호]],Merge1[[#This Row],[지시수량]])</f>
        <v>크레트롤정10/10MG 반제품 (수출)
1015377
A002871
600000</v>
      </c>
    </row>
    <row r="454" spans="1:13" ht="67.5" x14ac:dyDescent="0.25">
      <c r="A454" t="s">
        <v>200</v>
      </c>
      <c r="B454" t="s">
        <v>266</v>
      </c>
      <c r="C454" t="s">
        <v>460</v>
      </c>
      <c r="D454" t="s">
        <v>88</v>
      </c>
      <c r="E454" t="s">
        <v>89</v>
      </c>
      <c r="F454" t="s">
        <v>461</v>
      </c>
      <c r="G454">
        <v>110</v>
      </c>
      <c r="H454" t="s">
        <v>6</v>
      </c>
      <c r="I454" t="s">
        <v>234</v>
      </c>
      <c r="J454">
        <v>600000</v>
      </c>
      <c r="K454">
        <v>4</v>
      </c>
      <c r="L454">
        <f>VLOOKUP(Merge1[[#This Row],[제품코드]],공정중_우선순위[[제품코드]:[우선순위]],4,0)</f>
        <v>48</v>
      </c>
      <c r="M454" s="10" t="str">
        <f>_xlfn.TEXTJOIN(CHAR(10), TRUE, ,Merge1[[#This Row],[제품명]],Merge1[[#This Row],[오더번호]],Merge1[[#This Row],[제조번호]],Merge1[[#This Row],[지시수량]])</f>
        <v>크레트롤정10/10MG 반제품 (수출)
1015378
A002872
600000</v>
      </c>
    </row>
    <row r="455" spans="1:13" ht="67.5" x14ac:dyDescent="0.25">
      <c r="A455" t="s">
        <v>200</v>
      </c>
      <c r="B455" t="s">
        <v>266</v>
      </c>
      <c r="C455" t="s">
        <v>462</v>
      </c>
      <c r="D455" t="s">
        <v>88</v>
      </c>
      <c r="E455" t="s">
        <v>89</v>
      </c>
      <c r="F455" t="s">
        <v>463</v>
      </c>
      <c r="G455">
        <v>110</v>
      </c>
      <c r="H455" t="s">
        <v>6</v>
      </c>
      <c r="I455" t="s">
        <v>234</v>
      </c>
      <c r="J455">
        <v>600000</v>
      </c>
      <c r="K455">
        <v>4</v>
      </c>
      <c r="L455">
        <f>VLOOKUP(Merge1[[#This Row],[제품코드]],공정중_우선순위[[제품코드]:[우선순위]],4,0)</f>
        <v>48</v>
      </c>
      <c r="M455" s="10" t="str">
        <f>_xlfn.TEXTJOIN(CHAR(10), TRUE, ,Merge1[[#This Row],[제품명]],Merge1[[#This Row],[오더번호]],Merge1[[#This Row],[제조번호]],Merge1[[#This Row],[지시수량]])</f>
        <v>크레트롤정10/10MG 반제품 (수출)
1015413
A002873
600000</v>
      </c>
    </row>
    <row r="456" spans="1:13" ht="67.5" x14ac:dyDescent="0.25">
      <c r="A456" t="s">
        <v>200</v>
      </c>
      <c r="B456" t="s">
        <v>266</v>
      </c>
      <c r="C456" t="s">
        <v>464</v>
      </c>
      <c r="D456" t="s">
        <v>88</v>
      </c>
      <c r="E456" t="s">
        <v>89</v>
      </c>
      <c r="F456" t="s">
        <v>465</v>
      </c>
      <c r="G456">
        <v>110</v>
      </c>
      <c r="H456" t="s">
        <v>6</v>
      </c>
      <c r="I456" t="s">
        <v>234</v>
      </c>
      <c r="J456">
        <v>600000</v>
      </c>
      <c r="K456">
        <v>4</v>
      </c>
      <c r="L456">
        <f>VLOOKUP(Merge1[[#This Row],[제품코드]],공정중_우선순위[[제품코드]:[우선순위]],4,0)</f>
        <v>48</v>
      </c>
      <c r="M456" s="10" t="str">
        <f>_xlfn.TEXTJOIN(CHAR(10), TRUE, ,Merge1[[#This Row],[제품명]],Merge1[[#This Row],[오더번호]],Merge1[[#This Row],[제조번호]],Merge1[[#This Row],[지시수량]])</f>
        <v>크레트롤정10/10MG 반제품 (수출)
1015414
A002874
600000</v>
      </c>
    </row>
    <row r="457" spans="1:13" ht="67.5" x14ac:dyDescent="0.25">
      <c r="A457" t="s">
        <v>200</v>
      </c>
      <c r="B457" t="s">
        <v>266</v>
      </c>
      <c r="C457" t="s">
        <v>466</v>
      </c>
      <c r="D457" t="s">
        <v>88</v>
      </c>
      <c r="E457" t="s">
        <v>89</v>
      </c>
      <c r="F457" t="s">
        <v>467</v>
      </c>
      <c r="G457">
        <v>110</v>
      </c>
      <c r="H457" t="s">
        <v>6</v>
      </c>
      <c r="I457" t="s">
        <v>234</v>
      </c>
      <c r="J457">
        <v>600000</v>
      </c>
      <c r="K457">
        <v>4</v>
      </c>
      <c r="L457">
        <f>VLOOKUP(Merge1[[#This Row],[제품코드]],공정중_우선순위[[제품코드]:[우선순위]],4,0)</f>
        <v>48</v>
      </c>
      <c r="M457" s="10" t="str">
        <f>_xlfn.TEXTJOIN(CHAR(10), TRUE, ,Merge1[[#This Row],[제품명]],Merge1[[#This Row],[오더번호]],Merge1[[#This Row],[제조번호]],Merge1[[#This Row],[지시수량]])</f>
        <v>크레트롤정10/10MG 반제품 (수출)
1015415
A002875
600000</v>
      </c>
    </row>
    <row r="458" spans="1:13" ht="54" x14ac:dyDescent="0.25">
      <c r="A458" t="s">
        <v>200</v>
      </c>
      <c r="B458" t="s">
        <v>266</v>
      </c>
      <c r="C458" t="s">
        <v>267</v>
      </c>
      <c r="D458" t="s">
        <v>25</v>
      </c>
      <c r="E458" t="s">
        <v>26</v>
      </c>
      <c r="F458" t="s">
        <v>268</v>
      </c>
      <c r="G458">
        <v>20</v>
      </c>
      <c r="H458" t="s">
        <v>3</v>
      </c>
      <c r="I458" t="s">
        <v>269</v>
      </c>
      <c r="J458">
        <v>600000</v>
      </c>
      <c r="K458">
        <v>12</v>
      </c>
      <c r="L458">
        <f>VLOOKUP(Merge1[[#This Row],[제품코드]],공정중_우선순위[[제품코드]:[우선순위]],4,0)</f>
        <v>49</v>
      </c>
      <c r="M458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459" spans="1:13" ht="54" x14ac:dyDescent="0.25">
      <c r="A459" t="s">
        <v>200</v>
      </c>
      <c r="B459" t="s">
        <v>266</v>
      </c>
      <c r="C459" t="s">
        <v>267</v>
      </c>
      <c r="D459" t="s">
        <v>25</v>
      </c>
      <c r="E459" t="s">
        <v>26</v>
      </c>
      <c r="F459" t="s">
        <v>268</v>
      </c>
      <c r="G459">
        <v>20</v>
      </c>
      <c r="H459" t="s">
        <v>3</v>
      </c>
      <c r="I459" t="s">
        <v>269</v>
      </c>
      <c r="J459">
        <v>600000</v>
      </c>
      <c r="K459">
        <v>12</v>
      </c>
      <c r="L459">
        <f>VLOOKUP(Merge1[[#This Row],[제품코드]],공정중_우선순위[[제품코드]:[우선순위]],4,0)</f>
        <v>49</v>
      </c>
      <c r="M459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460" spans="1:13" ht="54" x14ac:dyDescent="0.25">
      <c r="A460" t="s">
        <v>200</v>
      </c>
      <c r="B460" t="s">
        <v>266</v>
      </c>
      <c r="C460" t="s">
        <v>270</v>
      </c>
      <c r="D460" t="s">
        <v>25</v>
      </c>
      <c r="E460" t="s">
        <v>26</v>
      </c>
      <c r="F460" t="s">
        <v>271</v>
      </c>
      <c r="G460">
        <v>20</v>
      </c>
      <c r="H460" t="s">
        <v>3</v>
      </c>
      <c r="I460" t="s">
        <v>269</v>
      </c>
      <c r="J460">
        <v>600000</v>
      </c>
      <c r="K460">
        <v>12</v>
      </c>
      <c r="L460">
        <f>VLOOKUP(Merge1[[#This Row],[제품코드]],공정중_우선순위[[제품코드]:[우선순위]],4,0)</f>
        <v>49</v>
      </c>
      <c r="M460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461" spans="1:13" ht="54" x14ac:dyDescent="0.25">
      <c r="A461" t="s">
        <v>200</v>
      </c>
      <c r="B461" t="s">
        <v>266</v>
      </c>
      <c r="C461" t="s">
        <v>270</v>
      </c>
      <c r="D461" t="s">
        <v>25</v>
      </c>
      <c r="E461" t="s">
        <v>26</v>
      </c>
      <c r="F461" t="s">
        <v>271</v>
      </c>
      <c r="G461">
        <v>20</v>
      </c>
      <c r="H461" t="s">
        <v>3</v>
      </c>
      <c r="I461" t="s">
        <v>269</v>
      </c>
      <c r="J461">
        <v>600000</v>
      </c>
      <c r="K461">
        <v>12</v>
      </c>
      <c r="L461">
        <f>VLOOKUP(Merge1[[#This Row],[제품코드]],공정중_우선순위[[제품코드]:[우선순위]],4,0)</f>
        <v>49</v>
      </c>
      <c r="M461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462" spans="1:13" ht="54" x14ac:dyDescent="0.25">
      <c r="A462" t="s">
        <v>200</v>
      </c>
      <c r="B462" t="s">
        <v>266</v>
      </c>
      <c r="C462" t="s">
        <v>272</v>
      </c>
      <c r="D462" t="s">
        <v>25</v>
      </c>
      <c r="E462" t="s">
        <v>26</v>
      </c>
      <c r="F462" t="s">
        <v>273</v>
      </c>
      <c r="G462">
        <v>20</v>
      </c>
      <c r="H462" t="s">
        <v>3</v>
      </c>
      <c r="I462" t="s">
        <v>269</v>
      </c>
      <c r="J462">
        <v>600000</v>
      </c>
      <c r="K462">
        <v>12</v>
      </c>
      <c r="L462">
        <f>VLOOKUP(Merge1[[#This Row],[제품코드]],공정중_우선순위[[제품코드]:[우선순위]],4,0)</f>
        <v>49</v>
      </c>
      <c r="M462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463" spans="1:13" ht="54" x14ac:dyDescent="0.25">
      <c r="A463" t="s">
        <v>200</v>
      </c>
      <c r="B463" t="s">
        <v>266</v>
      </c>
      <c r="C463" t="s">
        <v>272</v>
      </c>
      <c r="D463" t="s">
        <v>25</v>
      </c>
      <c r="E463" t="s">
        <v>26</v>
      </c>
      <c r="F463" t="s">
        <v>273</v>
      </c>
      <c r="G463">
        <v>20</v>
      </c>
      <c r="H463" t="s">
        <v>3</v>
      </c>
      <c r="I463" t="s">
        <v>269</v>
      </c>
      <c r="J463">
        <v>600000</v>
      </c>
      <c r="K463">
        <v>12</v>
      </c>
      <c r="L463">
        <f>VLOOKUP(Merge1[[#This Row],[제품코드]],공정중_우선순위[[제품코드]:[우선순위]],4,0)</f>
        <v>49</v>
      </c>
      <c r="M463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464" spans="1:13" ht="54" x14ac:dyDescent="0.25">
      <c r="A464" t="s">
        <v>200</v>
      </c>
      <c r="B464" t="s">
        <v>266</v>
      </c>
      <c r="C464" t="s">
        <v>274</v>
      </c>
      <c r="D464" t="s">
        <v>25</v>
      </c>
      <c r="E464" t="s">
        <v>26</v>
      </c>
      <c r="F464" t="s">
        <v>275</v>
      </c>
      <c r="G464">
        <v>20</v>
      </c>
      <c r="H464" t="s">
        <v>3</v>
      </c>
      <c r="I464" t="s">
        <v>269</v>
      </c>
      <c r="J464">
        <v>600000</v>
      </c>
      <c r="K464">
        <v>12</v>
      </c>
      <c r="L464">
        <f>VLOOKUP(Merge1[[#This Row],[제품코드]],공정중_우선순위[[제품코드]:[우선순위]],4,0)</f>
        <v>49</v>
      </c>
      <c r="M464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465" spans="1:13" ht="54" x14ac:dyDescent="0.25">
      <c r="A465" t="s">
        <v>200</v>
      </c>
      <c r="B465" t="s">
        <v>266</v>
      </c>
      <c r="C465" t="s">
        <v>274</v>
      </c>
      <c r="D465" t="s">
        <v>25</v>
      </c>
      <c r="E465" t="s">
        <v>26</v>
      </c>
      <c r="F465" t="s">
        <v>275</v>
      </c>
      <c r="G465">
        <v>20</v>
      </c>
      <c r="H465" t="s">
        <v>3</v>
      </c>
      <c r="I465" t="s">
        <v>269</v>
      </c>
      <c r="J465">
        <v>600000</v>
      </c>
      <c r="K465">
        <v>12</v>
      </c>
      <c r="L465">
        <f>VLOOKUP(Merge1[[#This Row],[제품코드]],공정중_우선순위[[제품코드]:[우선순위]],4,0)</f>
        <v>49</v>
      </c>
      <c r="M465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466" spans="1:13" ht="54" x14ac:dyDescent="0.25">
      <c r="A466" t="s">
        <v>200</v>
      </c>
      <c r="B466" t="s">
        <v>266</v>
      </c>
      <c r="C466" t="s">
        <v>276</v>
      </c>
      <c r="D466" t="s">
        <v>25</v>
      </c>
      <c r="E466" t="s">
        <v>26</v>
      </c>
      <c r="F466" t="s">
        <v>277</v>
      </c>
      <c r="G466">
        <v>20</v>
      </c>
      <c r="H466" t="s">
        <v>3</v>
      </c>
      <c r="I466" t="s">
        <v>269</v>
      </c>
      <c r="J466">
        <v>600000</v>
      </c>
      <c r="K466">
        <v>12</v>
      </c>
      <c r="L466">
        <f>VLOOKUP(Merge1[[#This Row],[제품코드]],공정중_우선순위[[제품코드]:[우선순위]],4,0)</f>
        <v>49</v>
      </c>
      <c r="M466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467" spans="1:13" ht="54" x14ac:dyDescent="0.25">
      <c r="A467" t="s">
        <v>200</v>
      </c>
      <c r="B467" t="s">
        <v>266</v>
      </c>
      <c r="C467" t="s">
        <v>276</v>
      </c>
      <c r="D467" t="s">
        <v>25</v>
      </c>
      <c r="E467" t="s">
        <v>26</v>
      </c>
      <c r="F467" t="s">
        <v>277</v>
      </c>
      <c r="G467">
        <v>20</v>
      </c>
      <c r="H467" t="s">
        <v>3</v>
      </c>
      <c r="I467" t="s">
        <v>269</v>
      </c>
      <c r="J467">
        <v>600000</v>
      </c>
      <c r="K467">
        <v>12</v>
      </c>
      <c r="L467">
        <f>VLOOKUP(Merge1[[#This Row],[제품코드]],공정중_우선순위[[제품코드]:[우선순위]],4,0)</f>
        <v>49</v>
      </c>
      <c r="M467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468" spans="1:13" ht="54" x14ac:dyDescent="0.25">
      <c r="A468" t="s">
        <v>200</v>
      </c>
      <c r="B468" t="s">
        <v>266</v>
      </c>
      <c r="C468" t="s">
        <v>278</v>
      </c>
      <c r="D468" t="s">
        <v>25</v>
      </c>
      <c r="E468" t="s">
        <v>26</v>
      </c>
      <c r="F468" t="s">
        <v>279</v>
      </c>
      <c r="G468">
        <v>20</v>
      </c>
      <c r="H468" t="s">
        <v>3</v>
      </c>
      <c r="I468" t="s">
        <v>269</v>
      </c>
      <c r="J468">
        <v>600000</v>
      </c>
      <c r="K468">
        <v>12</v>
      </c>
      <c r="L468">
        <f>VLOOKUP(Merge1[[#This Row],[제품코드]],공정중_우선순위[[제품코드]:[우선순위]],4,0)</f>
        <v>49</v>
      </c>
      <c r="M468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469" spans="1:13" ht="54" x14ac:dyDescent="0.25">
      <c r="A469" t="s">
        <v>200</v>
      </c>
      <c r="B469" t="s">
        <v>266</v>
      </c>
      <c r="C469" t="s">
        <v>278</v>
      </c>
      <c r="D469" t="s">
        <v>25</v>
      </c>
      <c r="E469" t="s">
        <v>26</v>
      </c>
      <c r="F469" t="s">
        <v>279</v>
      </c>
      <c r="G469">
        <v>20</v>
      </c>
      <c r="H469" t="s">
        <v>3</v>
      </c>
      <c r="I469" t="s">
        <v>269</v>
      </c>
      <c r="J469">
        <v>600000</v>
      </c>
      <c r="K469">
        <v>12</v>
      </c>
      <c r="L469">
        <f>VLOOKUP(Merge1[[#This Row],[제품코드]],공정중_우선순위[[제품코드]:[우선순위]],4,0)</f>
        <v>49</v>
      </c>
      <c r="M469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470" spans="1:13" ht="54" x14ac:dyDescent="0.25">
      <c r="A470" t="s">
        <v>200</v>
      </c>
      <c r="B470" t="s">
        <v>266</v>
      </c>
      <c r="C470" t="s">
        <v>267</v>
      </c>
      <c r="D470" t="s">
        <v>25</v>
      </c>
      <c r="E470" t="s">
        <v>26</v>
      </c>
      <c r="F470" t="s">
        <v>268</v>
      </c>
      <c r="G470">
        <v>50</v>
      </c>
      <c r="H470" t="s">
        <v>4</v>
      </c>
      <c r="I470" t="s">
        <v>222</v>
      </c>
      <c r="J470">
        <v>600000</v>
      </c>
      <c r="K470">
        <v>3</v>
      </c>
      <c r="L470">
        <f>VLOOKUP(Merge1[[#This Row],[제품코드]],공정중_우선순위[[제품코드]:[우선순위]],4,0)</f>
        <v>49</v>
      </c>
      <c r="M470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471" spans="1:13" ht="54" x14ac:dyDescent="0.25">
      <c r="A471" t="s">
        <v>200</v>
      </c>
      <c r="B471" t="s">
        <v>266</v>
      </c>
      <c r="C471" t="s">
        <v>267</v>
      </c>
      <c r="D471" t="s">
        <v>25</v>
      </c>
      <c r="E471" t="s">
        <v>26</v>
      </c>
      <c r="F471" t="s">
        <v>268</v>
      </c>
      <c r="G471">
        <v>50</v>
      </c>
      <c r="H471" t="s">
        <v>4</v>
      </c>
      <c r="I471" t="s">
        <v>222</v>
      </c>
      <c r="J471">
        <v>600000</v>
      </c>
      <c r="K471">
        <v>3</v>
      </c>
      <c r="L471">
        <f>VLOOKUP(Merge1[[#This Row],[제품코드]],공정중_우선순위[[제품코드]:[우선순위]],4,0)</f>
        <v>49</v>
      </c>
      <c r="M471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472" spans="1:13" ht="54" x14ac:dyDescent="0.25">
      <c r="A472" t="s">
        <v>200</v>
      </c>
      <c r="B472" t="s">
        <v>266</v>
      </c>
      <c r="C472" t="s">
        <v>270</v>
      </c>
      <c r="D472" t="s">
        <v>25</v>
      </c>
      <c r="E472" t="s">
        <v>26</v>
      </c>
      <c r="F472" t="s">
        <v>271</v>
      </c>
      <c r="G472">
        <v>50</v>
      </c>
      <c r="H472" t="s">
        <v>4</v>
      </c>
      <c r="I472" t="s">
        <v>222</v>
      </c>
      <c r="J472">
        <v>600000</v>
      </c>
      <c r="K472">
        <v>3</v>
      </c>
      <c r="L472">
        <f>VLOOKUP(Merge1[[#This Row],[제품코드]],공정중_우선순위[[제품코드]:[우선순위]],4,0)</f>
        <v>49</v>
      </c>
      <c r="M472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473" spans="1:13" ht="54" x14ac:dyDescent="0.25">
      <c r="A473" t="s">
        <v>200</v>
      </c>
      <c r="B473" t="s">
        <v>266</v>
      </c>
      <c r="C473" t="s">
        <v>270</v>
      </c>
      <c r="D473" t="s">
        <v>25</v>
      </c>
      <c r="E473" t="s">
        <v>26</v>
      </c>
      <c r="F473" t="s">
        <v>271</v>
      </c>
      <c r="G473">
        <v>50</v>
      </c>
      <c r="H473" t="s">
        <v>4</v>
      </c>
      <c r="I473" t="s">
        <v>222</v>
      </c>
      <c r="J473">
        <v>600000</v>
      </c>
      <c r="K473">
        <v>3</v>
      </c>
      <c r="L473">
        <f>VLOOKUP(Merge1[[#This Row],[제품코드]],공정중_우선순위[[제품코드]:[우선순위]],4,0)</f>
        <v>49</v>
      </c>
      <c r="M473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474" spans="1:13" ht="54" x14ac:dyDescent="0.25">
      <c r="A474" t="s">
        <v>200</v>
      </c>
      <c r="B474" t="s">
        <v>266</v>
      </c>
      <c r="C474" t="s">
        <v>272</v>
      </c>
      <c r="D474" t="s">
        <v>25</v>
      </c>
      <c r="E474" t="s">
        <v>26</v>
      </c>
      <c r="F474" t="s">
        <v>273</v>
      </c>
      <c r="G474">
        <v>50</v>
      </c>
      <c r="H474" t="s">
        <v>4</v>
      </c>
      <c r="I474" t="s">
        <v>222</v>
      </c>
      <c r="J474">
        <v>600000</v>
      </c>
      <c r="K474">
        <v>3</v>
      </c>
      <c r="L474">
        <f>VLOOKUP(Merge1[[#This Row],[제품코드]],공정중_우선순위[[제품코드]:[우선순위]],4,0)</f>
        <v>49</v>
      </c>
      <c r="M474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475" spans="1:13" ht="54" x14ac:dyDescent="0.25">
      <c r="A475" t="s">
        <v>200</v>
      </c>
      <c r="B475" t="s">
        <v>266</v>
      </c>
      <c r="C475" t="s">
        <v>272</v>
      </c>
      <c r="D475" t="s">
        <v>25</v>
      </c>
      <c r="E475" t="s">
        <v>26</v>
      </c>
      <c r="F475" t="s">
        <v>273</v>
      </c>
      <c r="G475">
        <v>50</v>
      </c>
      <c r="H475" t="s">
        <v>4</v>
      </c>
      <c r="I475" t="s">
        <v>222</v>
      </c>
      <c r="J475">
        <v>600000</v>
      </c>
      <c r="K475">
        <v>3</v>
      </c>
      <c r="L475">
        <f>VLOOKUP(Merge1[[#This Row],[제품코드]],공정중_우선순위[[제품코드]:[우선순위]],4,0)</f>
        <v>49</v>
      </c>
      <c r="M475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476" spans="1:13" ht="54" x14ac:dyDescent="0.25">
      <c r="A476" t="s">
        <v>200</v>
      </c>
      <c r="B476" t="s">
        <v>266</v>
      </c>
      <c r="C476" t="s">
        <v>274</v>
      </c>
      <c r="D476" t="s">
        <v>25</v>
      </c>
      <c r="E476" t="s">
        <v>26</v>
      </c>
      <c r="F476" t="s">
        <v>275</v>
      </c>
      <c r="G476">
        <v>50</v>
      </c>
      <c r="H476" t="s">
        <v>4</v>
      </c>
      <c r="I476" t="s">
        <v>222</v>
      </c>
      <c r="J476">
        <v>600000</v>
      </c>
      <c r="K476">
        <v>3</v>
      </c>
      <c r="L476">
        <f>VLOOKUP(Merge1[[#This Row],[제품코드]],공정중_우선순위[[제품코드]:[우선순위]],4,0)</f>
        <v>49</v>
      </c>
      <c r="M476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477" spans="1:13" ht="54" x14ac:dyDescent="0.25">
      <c r="A477" t="s">
        <v>200</v>
      </c>
      <c r="B477" t="s">
        <v>266</v>
      </c>
      <c r="C477" t="s">
        <v>274</v>
      </c>
      <c r="D477" t="s">
        <v>25</v>
      </c>
      <c r="E477" t="s">
        <v>26</v>
      </c>
      <c r="F477" t="s">
        <v>275</v>
      </c>
      <c r="G477">
        <v>50</v>
      </c>
      <c r="H477" t="s">
        <v>4</v>
      </c>
      <c r="I477" t="s">
        <v>222</v>
      </c>
      <c r="J477">
        <v>600000</v>
      </c>
      <c r="K477">
        <v>3</v>
      </c>
      <c r="L477">
        <f>VLOOKUP(Merge1[[#This Row],[제품코드]],공정중_우선순위[[제품코드]:[우선순위]],4,0)</f>
        <v>49</v>
      </c>
      <c r="M477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478" spans="1:13" ht="54" x14ac:dyDescent="0.25">
      <c r="A478" t="s">
        <v>200</v>
      </c>
      <c r="B478" t="s">
        <v>266</v>
      </c>
      <c r="C478" t="s">
        <v>276</v>
      </c>
      <c r="D478" t="s">
        <v>25</v>
      </c>
      <c r="E478" t="s">
        <v>26</v>
      </c>
      <c r="F478" t="s">
        <v>277</v>
      </c>
      <c r="G478">
        <v>50</v>
      </c>
      <c r="H478" t="s">
        <v>4</v>
      </c>
      <c r="I478" t="s">
        <v>222</v>
      </c>
      <c r="J478">
        <v>600000</v>
      </c>
      <c r="K478">
        <v>3</v>
      </c>
      <c r="L478">
        <f>VLOOKUP(Merge1[[#This Row],[제품코드]],공정중_우선순위[[제품코드]:[우선순위]],4,0)</f>
        <v>49</v>
      </c>
      <c r="M478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479" spans="1:13" ht="54" x14ac:dyDescent="0.25">
      <c r="A479" t="s">
        <v>200</v>
      </c>
      <c r="B479" t="s">
        <v>266</v>
      </c>
      <c r="C479" t="s">
        <v>276</v>
      </c>
      <c r="D479" t="s">
        <v>25</v>
      </c>
      <c r="E479" t="s">
        <v>26</v>
      </c>
      <c r="F479" t="s">
        <v>277</v>
      </c>
      <c r="G479">
        <v>50</v>
      </c>
      <c r="H479" t="s">
        <v>4</v>
      </c>
      <c r="I479" t="s">
        <v>222</v>
      </c>
      <c r="J479">
        <v>600000</v>
      </c>
      <c r="K479">
        <v>3</v>
      </c>
      <c r="L479">
        <f>VLOOKUP(Merge1[[#This Row],[제품코드]],공정중_우선순위[[제품코드]:[우선순위]],4,0)</f>
        <v>49</v>
      </c>
      <c r="M479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480" spans="1:13" ht="54" x14ac:dyDescent="0.25">
      <c r="A480" t="s">
        <v>200</v>
      </c>
      <c r="B480" t="s">
        <v>266</v>
      </c>
      <c r="C480" t="s">
        <v>278</v>
      </c>
      <c r="D480" t="s">
        <v>25</v>
      </c>
      <c r="E480" t="s">
        <v>26</v>
      </c>
      <c r="F480" t="s">
        <v>279</v>
      </c>
      <c r="G480">
        <v>50</v>
      </c>
      <c r="H480" t="s">
        <v>4</v>
      </c>
      <c r="I480" t="s">
        <v>222</v>
      </c>
      <c r="J480">
        <v>600000</v>
      </c>
      <c r="K480">
        <v>3</v>
      </c>
      <c r="L480">
        <f>VLOOKUP(Merge1[[#This Row],[제품코드]],공정중_우선순위[[제품코드]:[우선순위]],4,0)</f>
        <v>49</v>
      </c>
      <c r="M480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481" spans="1:13" ht="54" x14ac:dyDescent="0.25">
      <c r="A481" t="s">
        <v>200</v>
      </c>
      <c r="B481" t="s">
        <v>266</v>
      </c>
      <c r="C481" t="s">
        <v>278</v>
      </c>
      <c r="D481" t="s">
        <v>25</v>
      </c>
      <c r="E481" t="s">
        <v>26</v>
      </c>
      <c r="F481" t="s">
        <v>279</v>
      </c>
      <c r="G481">
        <v>50</v>
      </c>
      <c r="H481" t="s">
        <v>4</v>
      </c>
      <c r="I481" t="s">
        <v>222</v>
      </c>
      <c r="J481">
        <v>600000</v>
      </c>
      <c r="K481">
        <v>3</v>
      </c>
      <c r="L481">
        <f>VLOOKUP(Merge1[[#This Row],[제품코드]],공정중_우선순위[[제품코드]:[우선순위]],4,0)</f>
        <v>49</v>
      </c>
      <c r="M481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482" spans="1:13" ht="54" x14ac:dyDescent="0.25">
      <c r="A482" t="s">
        <v>200</v>
      </c>
      <c r="B482" t="s">
        <v>266</v>
      </c>
      <c r="C482" t="s">
        <v>267</v>
      </c>
      <c r="D482" t="s">
        <v>25</v>
      </c>
      <c r="E482" t="s">
        <v>26</v>
      </c>
      <c r="F482" t="s">
        <v>268</v>
      </c>
      <c r="G482">
        <v>60</v>
      </c>
      <c r="H482" t="s">
        <v>5</v>
      </c>
      <c r="I482" t="s">
        <v>280</v>
      </c>
      <c r="J482">
        <v>600000</v>
      </c>
      <c r="K482">
        <v>21</v>
      </c>
      <c r="L482">
        <f>VLOOKUP(Merge1[[#This Row],[제품코드]],공정중_우선순위[[제품코드]:[우선순위]],4,0)</f>
        <v>49</v>
      </c>
      <c r="M482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483" spans="1:13" ht="54" x14ac:dyDescent="0.25">
      <c r="A483" t="s">
        <v>200</v>
      </c>
      <c r="B483" t="s">
        <v>266</v>
      </c>
      <c r="C483" t="s">
        <v>267</v>
      </c>
      <c r="D483" t="s">
        <v>25</v>
      </c>
      <c r="E483" t="s">
        <v>26</v>
      </c>
      <c r="F483" t="s">
        <v>268</v>
      </c>
      <c r="G483">
        <v>60</v>
      </c>
      <c r="H483" t="s">
        <v>5</v>
      </c>
      <c r="I483" t="s">
        <v>280</v>
      </c>
      <c r="J483">
        <v>600000</v>
      </c>
      <c r="K483">
        <v>13</v>
      </c>
      <c r="L483">
        <f>VLOOKUP(Merge1[[#This Row],[제품코드]],공정중_우선순위[[제품코드]:[우선순위]],4,0)</f>
        <v>49</v>
      </c>
      <c r="M483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484" spans="1:13" ht="54" x14ac:dyDescent="0.25">
      <c r="A484" t="s">
        <v>200</v>
      </c>
      <c r="B484" t="s">
        <v>266</v>
      </c>
      <c r="C484" t="s">
        <v>270</v>
      </c>
      <c r="D484" t="s">
        <v>25</v>
      </c>
      <c r="E484" t="s">
        <v>26</v>
      </c>
      <c r="F484" t="s">
        <v>271</v>
      </c>
      <c r="G484">
        <v>60</v>
      </c>
      <c r="H484" t="s">
        <v>5</v>
      </c>
      <c r="I484" t="s">
        <v>280</v>
      </c>
      <c r="J484">
        <v>600000</v>
      </c>
      <c r="K484">
        <v>21</v>
      </c>
      <c r="L484">
        <f>VLOOKUP(Merge1[[#This Row],[제품코드]],공정중_우선순위[[제품코드]:[우선순위]],4,0)</f>
        <v>49</v>
      </c>
      <c r="M484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485" spans="1:13" ht="54" x14ac:dyDescent="0.25">
      <c r="A485" t="s">
        <v>200</v>
      </c>
      <c r="B485" t="s">
        <v>266</v>
      </c>
      <c r="C485" t="s">
        <v>270</v>
      </c>
      <c r="D485" t="s">
        <v>25</v>
      </c>
      <c r="E485" t="s">
        <v>26</v>
      </c>
      <c r="F485" t="s">
        <v>271</v>
      </c>
      <c r="G485">
        <v>60</v>
      </c>
      <c r="H485" t="s">
        <v>5</v>
      </c>
      <c r="I485" t="s">
        <v>280</v>
      </c>
      <c r="J485">
        <v>600000</v>
      </c>
      <c r="K485">
        <v>13</v>
      </c>
      <c r="L485">
        <f>VLOOKUP(Merge1[[#This Row],[제품코드]],공정중_우선순위[[제품코드]:[우선순위]],4,0)</f>
        <v>49</v>
      </c>
      <c r="M485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486" spans="1:13" ht="54" x14ac:dyDescent="0.25">
      <c r="A486" t="s">
        <v>200</v>
      </c>
      <c r="B486" t="s">
        <v>266</v>
      </c>
      <c r="C486" t="s">
        <v>272</v>
      </c>
      <c r="D486" t="s">
        <v>25</v>
      </c>
      <c r="E486" t="s">
        <v>26</v>
      </c>
      <c r="F486" t="s">
        <v>273</v>
      </c>
      <c r="G486">
        <v>60</v>
      </c>
      <c r="H486" t="s">
        <v>5</v>
      </c>
      <c r="I486" t="s">
        <v>280</v>
      </c>
      <c r="J486">
        <v>600000</v>
      </c>
      <c r="K486">
        <v>21</v>
      </c>
      <c r="L486">
        <f>VLOOKUP(Merge1[[#This Row],[제품코드]],공정중_우선순위[[제품코드]:[우선순위]],4,0)</f>
        <v>49</v>
      </c>
      <c r="M486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487" spans="1:13" ht="54" x14ac:dyDescent="0.25">
      <c r="A487" t="s">
        <v>200</v>
      </c>
      <c r="B487" t="s">
        <v>266</v>
      </c>
      <c r="C487" t="s">
        <v>272</v>
      </c>
      <c r="D487" t="s">
        <v>25</v>
      </c>
      <c r="E487" t="s">
        <v>26</v>
      </c>
      <c r="F487" t="s">
        <v>273</v>
      </c>
      <c r="G487">
        <v>60</v>
      </c>
      <c r="H487" t="s">
        <v>5</v>
      </c>
      <c r="I487" t="s">
        <v>280</v>
      </c>
      <c r="J487">
        <v>600000</v>
      </c>
      <c r="K487">
        <v>13</v>
      </c>
      <c r="L487">
        <f>VLOOKUP(Merge1[[#This Row],[제품코드]],공정중_우선순위[[제품코드]:[우선순위]],4,0)</f>
        <v>49</v>
      </c>
      <c r="M487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488" spans="1:13" ht="54" x14ac:dyDescent="0.25">
      <c r="A488" t="s">
        <v>200</v>
      </c>
      <c r="B488" t="s">
        <v>266</v>
      </c>
      <c r="C488" t="s">
        <v>274</v>
      </c>
      <c r="D488" t="s">
        <v>25</v>
      </c>
      <c r="E488" t="s">
        <v>26</v>
      </c>
      <c r="F488" t="s">
        <v>275</v>
      </c>
      <c r="G488">
        <v>60</v>
      </c>
      <c r="H488" t="s">
        <v>5</v>
      </c>
      <c r="I488" t="s">
        <v>280</v>
      </c>
      <c r="J488">
        <v>600000</v>
      </c>
      <c r="K488">
        <v>21</v>
      </c>
      <c r="L488">
        <f>VLOOKUP(Merge1[[#This Row],[제품코드]],공정중_우선순위[[제품코드]:[우선순위]],4,0)</f>
        <v>49</v>
      </c>
      <c r="M488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489" spans="1:13" ht="54" x14ac:dyDescent="0.25">
      <c r="A489" t="s">
        <v>200</v>
      </c>
      <c r="B489" t="s">
        <v>266</v>
      </c>
      <c r="C489" t="s">
        <v>274</v>
      </c>
      <c r="D489" t="s">
        <v>25</v>
      </c>
      <c r="E489" t="s">
        <v>26</v>
      </c>
      <c r="F489" t="s">
        <v>275</v>
      </c>
      <c r="G489">
        <v>60</v>
      </c>
      <c r="H489" t="s">
        <v>5</v>
      </c>
      <c r="I489" t="s">
        <v>280</v>
      </c>
      <c r="J489">
        <v>600000</v>
      </c>
      <c r="K489">
        <v>13</v>
      </c>
      <c r="L489">
        <f>VLOOKUP(Merge1[[#This Row],[제품코드]],공정중_우선순위[[제품코드]:[우선순위]],4,0)</f>
        <v>49</v>
      </c>
      <c r="M489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490" spans="1:13" ht="54" x14ac:dyDescent="0.25">
      <c r="A490" t="s">
        <v>200</v>
      </c>
      <c r="B490" t="s">
        <v>266</v>
      </c>
      <c r="C490" t="s">
        <v>276</v>
      </c>
      <c r="D490" t="s">
        <v>25</v>
      </c>
      <c r="E490" t="s">
        <v>26</v>
      </c>
      <c r="F490" t="s">
        <v>277</v>
      </c>
      <c r="G490">
        <v>60</v>
      </c>
      <c r="H490" t="s">
        <v>5</v>
      </c>
      <c r="I490" t="s">
        <v>280</v>
      </c>
      <c r="J490">
        <v>600000</v>
      </c>
      <c r="K490">
        <v>21</v>
      </c>
      <c r="L490">
        <f>VLOOKUP(Merge1[[#This Row],[제품코드]],공정중_우선순위[[제품코드]:[우선순위]],4,0)</f>
        <v>49</v>
      </c>
      <c r="M490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491" spans="1:13" ht="54" x14ac:dyDescent="0.25">
      <c r="A491" t="s">
        <v>200</v>
      </c>
      <c r="B491" t="s">
        <v>266</v>
      </c>
      <c r="C491" t="s">
        <v>276</v>
      </c>
      <c r="D491" t="s">
        <v>25</v>
      </c>
      <c r="E491" t="s">
        <v>26</v>
      </c>
      <c r="F491" t="s">
        <v>277</v>
      </c>
      <c r="G491">
        <v>60</v>
      </c>
      <c r="H491" t="s">
        <v>5</v>
      </c>
      <c r="I491" t="s">
        <v>280</v>
      </c>
      <c r="J491">
        <v>600000</v>
      </c>
      <c r="K491">
        <v>13</v>
      </c>
      <c r="L491">
        <f>VLOOKUP(Merge1[[#This Row],[제품코드]],공정중_우선순위[[제품코드]:[우선순위]],4,0)</f>
        <v>49</v>
      </c>
      <c r="M491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492" spans="1:13" ht="54" x14ac:dyDescent="0.25">
      <c r="A492" t="s">
        <v>200</v>
      </c>
      <c r="B492" t="s">
        <v>266</v>
      </c>
      <c r="C492" t="s">
        <v>278</v>
      </c>
      <c r="D492" t="s">
        <v>25</v>
      </c>
      <c r="E492" t="s">
        <v>26</v>
      </c>
      <c r="F492" t="s">
        <v>279</v>
      </c>
      <c r="G492">
        <v>60</v>
      </c>
      <c r="H492" t="s">
        <v>5</v>
      </c>
      <c r="I492" t="s">
        <v>280</v>
      </c>
      <c r="J492">
        <v>600000</v>
      </c>
      <c r="K492">
        <v>21</v>
      </c>
      <c r="L492">
        <f>VLOOKUP(Merge1[[#This Row],[제품코드]],공정중_우선순위[[제품코드]:[우선순위]],4,0)</f>
        <v>49</v>
      </c>
      <c r="M492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493" spans="1:13" ht="54" x14ac:dyDescent="0.25">
      <c r="A493" t="s">
        <v>200</v>
      </c>
      <c r="B493" t="s">
        <v>266</v>
      </c>
      <c r="C493" t="s">
        <v>278</v>
      </c>
      <c r="D493" t="s">
        <v>25</v>
      </c>
      <c r="E493" t="s">
        <v>26</v>
      </c>
      <c r="F493" t="s">
        <v>279</v>
      </c>
      <c r="G493">
        <v>60</v>
      </c>
      <c r="H493" t="s">
        <v>5</v>
      </c>
      <c r="I493" t="s">
        <v>280</v>
      </c>
      <c r="J493">
        <v>600000</v>
      </c>
      <c r="K493">
        <v>13</v>
      </c>
      <c r="L493">
        <f>VLOOKUP(Merge1[[#This Row],[제품코드]],공정중_우선순위[[제품코드]:[우선순위]],4,0)</f>
        <v>49</v>
      </c>
      <c r="M493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494" spans="1:13" ht="54" x14ac:dyDescent="0.25">
      <c r="A494" t="s">
        <v>200</v>
      </c>
      <c r="B494" t="s">
        <v>266</v>
      </c>
      <c r="C494" t="s">
        <v>281</v>
      </c>
      <c r="D494" t="s">
        <v>25</v>
      </c>
      <c r="E494" t="s">
        <v>26</v>
      </c>
      <c r="F494" t="s">
        <v>282</v>
      </c>
      <c r="G494">
        <v>80</v>
      </c>
      <c r="H494" t="s">
        <v>9</v>
      </c>
      <c r="I494" t="s">
        <v>232</v>
      </c>
      <c r="J494">
        <v>600000</v>
      </c>
      <c r="K494">
        <v>11</v>
      </c>
      <c r="L494">
        <f>VLOOKUP(Merge1[[#This Row],[제품코드]],공정중_우선순위[[제품코드]:[우선순위]],4,0)</f>
        <v>49</v>
      </c>
      <c r="M494" s="10" t="str">
        <f>_xlfn.TEXTJOIN(CHAR(10), TRUE, ,Merge1[[#This Row],[제품명]],Merge1[[#This Row],[오더번호]],Merge1[[#This Row],[제조번호]],Merge1[[#This Row],[지시수량]])</f>
        <v>크레트롤정10/10MG 반제품
1015510
A002927
600000</v>
      </c>
    </row>
    <row r="495" spans="1:13" ht="54" x14ac:dyDescent="0.25">
      <c r="A495" t="s">
        <v>200</v>
      </c>
      <c r="B495" t="s">
        <v>266</v>
      </c>
      <c r="C495" t="s">
        <v>281</v>
      </c>
      <c r="D495" t="s">
        <v>25</v>
      </c>
      <c r="E495" t="s">
        <v>26</v>
      </c>
      <c r="F495" t="s">
        <v>282</v>
      </c>
      <c r="G495">
        <v>80</v>
      </c>
      <c r="H495" t="s">
        <v>9</v>
      </c>
      <c r="I495" t="s">
        <v>232</v>
      </c>
      <c r="J495">
        <v>600000</v>
      </c>
      <c r="K495">
        <v>11</v>
      </c>
      <c r="L495">
        <f>VLOOKUP(Merge1[[#This Row],[제품코드]],공정중_우선순위[[제품코드]:[우선순위]],4,0)</f>
        <v>49</v>
      </c>
      <c r="M495" s="10" t="str">
        <f>_xlfn.TEXTJOIN(CHAR(10), TRUE, ,Merge1[[#This Row],[제품명]],Merge1[[#This Row],[오더번호]],Merge1[[#This Row],[제조번호]],Merge1[[#This Row],[지시수량]])</f>
        <v>크레트롤정10/10MG 반제품
1015510
A002927
600000</v>
      </c>
    </row>
    <row r="496" spans="1:13" ht="54" x14ac:dyDescent="0.25">
      <c r="A496" t="s">
        <v>200</v>
      </c>
      <c r="B496" t="s">
        <v>266</v>
      </c>
      <c r="C496" t="s">
        <v>283</v>
      </c>
      <c r="D496" t="s">
        <v>25</v>
      </c>
      <c r="E496" t="s">
        <v>26</v>
      </c>
      <c r="F496" t="s">
        <v>284</v>
      </c>
      <c r="G496">
        <v>80</v>
      </c>
      <c r="H496" t="s">
        <v>9</v>
      </c>
      <c r="I496" t="s">
        <v>232</v>
      </c>
      <c r="J496">
        <v>600000</v>
      </c>
      <c r="K496">
        <v>11</v>
      </c>
      <c r="L496">
        <f>VLOOKUP(Merge1[[#This Row],[제품코드]],공정중_우선순위[[제품코드]:[우선순위]],4,0)</f>
        <v>49</v>
      </c>
      <c r="M496" s="10" t="str">
        <f>_xlfn.TEXTJOIN(CHAR(10), TRUE, ,Merge1[[#This Row],[제품명]],Merge1[[#This Row],[오더번호]],Merge1[[#This Row],[제조번호]],Merge1[[#This Row],[지시수량]])</f>
        <v>크레트롤정10/10MG 반제품
1015511
A002928
600000</v>
      </c>
    </row>
    <row r="497" spans="1:13" ht="54" x14ac:dyDescent="0.25">
      <c r="A497" t="s">
        <v>200</v>
      </c>
      <c r="B497" t="s">
        <v>266</v>
      </c>
      <c r="C497" t="s">
        <v>283</v>
      </c>
      <c r="D497" t="s">
        <v>25</v>
      </c>
      <c r="E497" t="s">
        <v>26</v>
      </c>
      <c r="F497" t="s">
        <v>284</v>
      </c>
      <c r="G497">
        <v>80</v>
      </c>
      <c r="H497" t="s">
        <v>9</v>
      </c>
      <c r="I497" t="s">
        <v>232</v>
      </c>
      <c r="J497">
        <v>600000</v>
      </c>
      <c r="K497">
        <v>11</v>
      </c>
      <c r="L497">
        <f>VLOOKUP(Merge1[[#This Row],[제품코드]],공정중_우선순위[[제품코드]:[우선순위]],4,0)</f>
        <v>49</v>
      </c>
      <c r="M497" s="10" t="str">
        <f>_xlfn.TEXTJOIN(CHAR(10), TRUE, ,Merge1[[#This Row],[제품명]],Merge1[[#This Row],[오더번호]],Merge1[[#This Row],[제조번호]],Merge1[[#This Row],[지시수량]])</f>
        <v>크레트롤정10/10MG 반제품
1015511
A002928
600000</v>
      </c>
    </row>
    <row r="498" spans="1:13" ht="54" x14ac:dyDescent="0.25">
      <c r="A498" t="s">
        <v>200</v>
      </c>
      <c r="B498" t="s">
        <v>266</v>
      </c>
      <c r="C498" t="s">
        <v>267</v>
      </c>
      <c r="D498" t="s">
        <v>25</v>
      </c>
      <c r="E498" t="s">
        <v>26</v>
      </c>
      <c r="F498" t="s">
        <v>268</v>
      </c>
      <c r="G498">
        <v>80</v>
      </c>
      <c r="H498" t="s">
        <v>9</v>
      </c>
      <c r="I498" t="s">
        <v>232</v>
      </c>
      <c r="J498">
        <v>600000</v>
      </c>
      <c r="K498">
        <v>11</v>
      </c>
      <c r="L498">
        <f>VLOOKUP(Merge1[[#This Row],[제품코드]],공정중_우선순위[[제품코드]:[우선순위]],4,0)</f>
        <v>49</v>
      </c>
      <c r="M498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499" spans="1:13" ht="54" x14ac:dyDescent="0.25">
      <c r="A499" t="s">
        <v>200</v>
      </c>
      <c r="B499" t="s">
        <v>266</v>
      </c>
      <c r="C499" t="s">
        <v>267</v>
      </c>
      <c r="D499" t="s">
        <v>25</v>
      </c>
      <c r="E499" t="s">
        <v>26</v>
      </c>
      <c r="F499" t="s">
        <v>268</v>
      </c>
      <c r="G499">
        <v>80</v>
      </c>
      <c r="H499" t="s">
        <v>9</v>
      </c>
      <c r="I499" t="s">
        <v>232</v>
      </c>
      <c r="J499">
        <v>600000</v>
      </c>
      <c r="K499">
        <v>11</v>
      </c>
      <c r="L499">
        <f>VLOOKUP(Merge1[[#This Row],[제품코드]],공정중_우선순위[[제품코드]:[우선순위]],4,0)</f>
        <v>49</v>
      </c>
      <c r="M499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500" spans="1:13" ht="54" x14ac:dyDescent="0.25">
      <c r="A500" t="s">
        <v>200</v>
      </c>
      <c r="B500" t="s">
        <v>266</v>
      </c>
      <c r="C500" t="s">
        <v>270</v>
      </c>
      <c r="D500" t="s">
        <v>25</v>
      </c>
      <c r="E500" t="s">
        <v>26</v>
      </c>
      <c r="F500" t="s">
        <v>271</v>
      </c>
      <c r="G500">
        <v>80</v>
      </c>
      <c r="H500" t="s">
        <v>9</v>
      </c>
      <c r="I500" t="s">
        <v>232</v>
      </c>
      <c r="J500">
        <v>600000</v>
      </c>
      <c r="K500">
        <v>11</v>
      </c>
      <c r="L500">
        <f>VLOOKUP(Merge1[[#This Row],[제품코드]],공정중_우선순위[[제품코드]:[우선순위]],4,0)</f>
        <v>49</v>
      </c>
      <c r="M500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501" spans="1:13" ht="54" x14ac:dyDescent="0.25">
      <c r="A501" t="s">
        <v>200</v>
      </c>
      <c r="B501" t="s">
        <v>266</v>
      </c>
      <c r="C501" t="s">
        <v>270</v>
      </c>
      <c r="D501" t="s">
        <v>25</v>
      </c>
      <c r="E501" t="s">
        <v>26</v>
      </c>
      <c r="F501" t="s">
        <v>271</v>
      </c>
      <c r="G501">
        <v>80</v>
      </c>
      <c r="H501" t="s">
        <v>9</v>
      </c>
      <c r="I501" t="s">
        <v>232</v>
      </c>
      <c r="J501">
        <v>600000</v>
      </c>
      <c r="K501">
        <v>11</v>
      </c>
      <c r="L501">
        <f>VLOOKUP(Merge1[[#This Row],[제품코드]],공정중_우선순위[[제품코드]:[우선순위]],4,0)</f>
        <v>49</v>
      </c>
      <c r="M501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502" spans="1:13" ht="54" x14ac:dyDescent="0.25">
      <c r="A502" t="s">
        <v>200</v>
      </c>
      <c r="B502" t="s">
        <v>266</v>
      </c>
      <c r="C502" t="s">
        <v>272</v>
      </c>
      <c r="D502" t="s">
        <v>25</v>
      </c>
      <c r="E502" t="s">
        <v>26</v>
      </c>
      <c r="F502" t="s">
        <v>273</v>
      </c>
      <c r="G502">
        <v>80</v>
      </c>
      <c r="H502" t="s">
        <v>9</v>
      </c>
      <c r="I502" t="s">
        <v>232</v>
      </c>
      <c r="J502">
        <v>600000</v>
      </c>
      <c r="K502">
        <v>11</v>
      </c>
      <c r="L502">
        <f>VLOOKUP(Merge1[[#This Row],[제품코드]],공정중_우선순위[[제품코드]:[우선순위]],4,0)</f>
        <v>49</v>
      </c>
      <c r="M502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503" spans="1:13" ht="54" x14ac:dyDescent="0.25">
      <c r="A503" t="s">
        <v>200</v>
      </c>
      <c r="B503" t="s">
        <v>266</v>
      </c>
      <c r="C503" t="s">
        <v>272</v>
      </c>
      <c r="D503" t="s">
        <v>25</v>
      </c>
      <c r="E503" t="s">
        <v>26</v>
      </c>
      <c r="F503" t="s">
        <v>273</v>
      </c>
      <c r="G503">
        <v>80</v>
      </c>
      <c r="H503" t="s">
        <v>9</v>
      </c>
      <c r="I503" t="s">
        <v>232</v>
      </c>
      <c r="J503">
        <v>600000</v>
      </c>
      <c r="K503">
        <v>11</v>
      </c>
      <c r="L503">
        <f>VLOOKUP(Merge1[[#This Row],[제품코드]],공정중_우선순위[[제품코드]:[우선순위]],4,0)</f>
        <v>49</v>
      </c>
      <c r="M503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504" spans="1:13" ht="54" x14ac:dyDescent="0.25">
      <c r="A504" t="s">
        <v>200</v>
      </c>
      <c r="B504" t="s">
        <v>266</v>
      </c>
      <c r="C504" t="s">
        <v>274</v>
      </c>
      <c r="D504" t="s">
        <v>25</v>
      </c>
      <c r="E504" t="s">
        <v>26</v>
      </c>
      <c r="F504" t="s">
        <v>275</v>
      </c>
      <c r="G504">
        <v>80</v>
      </c>
      <c r="H504" t="s">
        <v>9</v>
      </c>
      <c r="I504" t="s">
        <v>232</v>
      </c>
      <c r="J504">
        <v>600000</v>
      </c>
      <c r="K504">
        <v>11</v>
      </c>
      <c r="L504">
        <f>VLOOKUP(Merge1[[#This Row],[제품코드]],공정중_우선순위[[제품코드]:[우선순위]],4,0)</f>
        <v>49</v>
      </c>
      <c r="M504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505" spans="1:13" ht="54" x14ac:dyDescent="0.25">
      <c r="A505" t="s">
        <v>200</v>
      </c>
      <c r="B505" t="s">
        <v>266</v>
      </c>
      <c r="C505" t="s">
        <v>274</v>
      </c>
      <c r="D505" t="s">
        <v>25</v>
      </c>
      <c r="E505" t="s">
        <v>26</v>
      </c>
      <c r="F505" t="s">
        <v>275</v>
      </c>
      <c r="G505">
        <v>80</v>
      </c>
      <c r="H505" t="s">
        <v>9</v>
      </c>
      <c r="I505" t="s">
        <v>232</v>
      </c>
      <c r="J505">
        <v>600000</v>
      </c>
      <c r="K505">
        <v>11</v>
      </c>
      <c r="L505">
        <f>VLOOKUP(Merge1[[#This Row],[제품코드]],공정중_우선순위[[제품코드]:[우선순위]],4,0)</f>
        <v>49</v>
      </c>
      <c r="M505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506" spans="1:13" ht="54" x14ac:dyDescent="0.25">
      <c r="A506" t="s">
        <v>200</v>
      </c>
      <c r="B506" t="s">
        <v>266</v>
      </c>
      <c r="C506" t="s">
        <v>276</v>
      </c>
      <c r="D506" t="s">
        <v>25</v>
      </c>
      <c r="E506" t="s">
        <v>26</v>
      </c>
      <c r="F506" t="s">
        <v>277</v>
      </c>
      <c r="G506">
        <v>80</v>
      </c>
      <c r="H506" t="s">
        <v>9</v>
      </c>
      <c r="I506" t="s">
        <v>232</v>
      </c>
      <c r="J506">
        <v>600000</v>
      </c>
      <c r="K506">
        <v>11</v>
      </c>
      <c r="L506">
        <f>VLOOKUP(Merge1[[#This Row],[제품코드]],공정중_우선순위[[제품코드]:[우선순위]],4,0)</f>
        <v>49</v>
      </c>
      <c r="M506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507" spans="1:13" ht="54" x14ac:dyDescent="0.25">
      <c r="A507" t="s">
        <v>200</v>
      </c>
      <c r="B507" t="s">
        <v>266</v>
      </c>
      <c r="C507" t="s">
        <v>276</v>
      </c>
      <c r="D507" t="s">
        <v>25</v>
      </c>
      <c r="E507" t="s">
        <v>26</v>
      </c>
      <c r="F507" t="s">
        <v>277</v>
      </c>
      <c r="G507">
        <v>80</v>
      </c>
      <c r="H507" t="s">
        <v>9</v>
      </c>
      <c r="I507" t="s">
        <v>232</v>
      </c>
      <c r="J507">
        <v>600000</v>
      </c>
      <c r="K507">
        <v>11</v>
      </c>
      <c r="L507">
        <f>VLOOKUP(Merge1[[#This Row],[제품코드]],공정중_우선순위[[제품코드]:[우선순위]],4,0)</f>
        <v>49</v>
      </c>
      <c r="M507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508" spans="1:13" ht="54" x14ac:dyDescent="0.25">
      <c r="A508" t="s">
        <v>200</v>
      </c>
      <c r="B508" t="s">
        <v>266</v>
      </c>
      <c r="C508" t="s">
        <v>278</v>
      </c>
      <c r="D508" t="s">
        <v>25</v>
      </c>
      <c r="E508" t="s">
        <v>26</v>
      </c>
      <c r="F508" t="s">
        <v>279</v>
      </c>
      <c r="G508">
        <v>80</v>
      </c>
      <c r="H508" t="s">
        <v>9</v>
      </c>
      <c r="I508" t="s">
        <v>232</v>
      </c>
      <c r="J508">
        <v>600000</v>
      </c>
      <c r="K508">
        <v>11</v>
      </c>
      <c r="L508">
        <f>VLOOKUP(Merge1[[#This Row],[제품코드]],공정중_우선순위[[제품코드]:[우선순위]],4,0)</f>
        <v>49</v>
      </c>
      <c r="M508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509" spans="1:13" ht="54" x14ac:dyDescent="0.25">
      <c r="A509" t="s">
        <v>200</v>
      </c>
      <c r="B509" t="s">
        <v>266</v>
      </c>
      <c r="C509" t="s">
        <v>278</v>
      </c>
      <c r="D509" t="s">
        <v>25</v>
      </c>
      <c r="E509" t="s">
        <v>26</v>
      </c>
      <c r="F509" t="s">
        <v>279</v>
      </c>
      <c r="G509">
        <v>80</v>
      </c>
      <c r="H509" t="s">
        <v>9</v>
      </c>
      <c r="I509" t="s">
        <v>232</v>
      </c>
      <c r="J509">
        <v>600000</v>
      </c>
      <c r="K509">
        <v>11</v>
      </c>
      <c r="L509">
        <f>VLOOKUP(Merge1[[#This Row],[제품코드]],공정중_우선순위[[제품코드]:[우선순위]],4,0)</f>
        <v>49</v>
      </c>
      <c r="M509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510" spans="1:13" ht="54" x14ac:dyDescent="0.25">
      <c r="A510" t="s">
        <v>200</v>
      </c>
      <c r="B510" t="s">
        <v>266</v>
      </c>
      <c r="C510" t="s">
        <v>281</v>
      </c>
      <c r="D510" t="s">
        <v>25</v>
      </c>
      <c r="E510" t="s">
        <v>26</v>
      </c>
      <c r="F510" t="s">
        <v>282</v>
      </c>
      <c r="G510">
        <v>110</v>
      </c>
      <c r="H510" t="s">
        <v>6</v>
      </c>
      <c r="I510" t="s">
        <v>234</v>
      </c>
      <c r="J510">
        <v>600000</v>
      </c>
      <c r="K510">
        <v>11</v>
      </c>
      <c r="L510">
        <f>VLOOKUP(Merge1[[#This Row],[제품코드]],공정중_우선순위[[제품코드]:[우선순위]],4,0)</f>
        <v>49</v>
      </c>
      <c r="M510" s="10" t="str">
        <f>_xlfn.TEXTJOIN(CHAR(10), TRUE, ,Merge1[[#This Row],[제품명]],Merge1[[#This Row],[오더번호]],Merge1[[#This Row],[제조번호]],Merge1[[#This Row],[지시수량]])</f>
        <v>크레트롤정10/10MG 반제품
1015510
A002927
600000</v>
      </c>
    </row>
    <row r="511" spans="1:13" ht="54" x14ac:dyDescent="0.25">
      <c r="A511" t="s">
        <v>200</v>
      </c>
      <c r="B511" t="s">
        <v>266</v>
      </c>
      <c r="C511" t="s">
        <v>281</v>
      </c>
      <c r="D511" t="s">
        <v>25</v>
      </c>
      <c r="E511" t="s">
        <v>26</v>
      </c>
      <c r="F511" t="s">
        <v>282</v>
      </c>
      <c r="G511">
        <v>110</v>
      </c>
      <c r="H511" t="s">
        <v>6</v>
      </c>
      <c r="I511" t="s">
        <v>234</v>
      </c>
      <c r="J511">
        <v>600000</v>
      </c>
      <c r="K511">
        <v>7</v>
      </c>
      <c r="L511">
        <f>VLOOKUP(Merge1[[#This Row],[제품코드]],공정중_우선순위[[제품코드]:[우선순위]],4,0)</f>
        <v>49</v>
      </c>
      <c r="M511" s="10" t="str">
        <f>_xlfn.TEXTJOIN(CHAR(10), TRUE, ,Merge1[[#This Row],[제품명]],Merge1[[#This Row],[오더번호]],Merge1[[#This Row],[제조번호]],Merge1[[#This Row],[지시수량]])</f>
        <v>크레트롤정10/10MG 반제품
1015510
A002927
600000</v>
      </c>
    </row>
    <row r="512" spans="1:13" ht="54" x14ac:dyDescent="0.25">
      <c r="A512" t="s">
        <v>200</v>
      </c>
      <c r="B512" t="s">
        <v>266</v>
      </c>
      <c r="C512" t="s">
        <v>283</v>
      </c>
      <c r="D512" t="s">
        <v>25</v>
      </c>
      <c r="E512" t="s">
        <v>26</v>
      </c>
      <c r="F512" t="s">
        <v>284</v>
      </c>
      <c r="G512">
        <v>110</v>
      </c>
      <c r="H512" t="s">
        <v>6</v>
      </c>
      <c r="I512" t="s">
        <v>234</v>
      </c>
      <c r="J512">
        <v>600000</v>
      </c>
      <c r="K512">
        <v>11</v>
      </c>
      <c r="L512">
        <f>VLOOKUP(Merge1[[#This Row],[제품코드]],공정중_우선순위[[제품코드]:[우선순위]],4,0)</f>
        <v>49</v>
      </c>
      <c r="M512" s="10" t="str">
        <f>_xlfn.TEXTJOIN(CHAR(10), TRUE, ,Merge1[[#This Row],[제품명]],Merge1[[#This Row],[오더번호]],Merge1[[#This Row],[제조번호]],Merge1[[#This Row],[지시수량]])</f>
        <v>크레트롤정10/10MG 반제품
1015511
A002928
600000</v>
      </c>
    </row>
    <row r="513" spans="1:13" ht="54" x14ac:dyDescent="0.25">
      <c r="A513" t="s">
        <v>200</v>
      </c>
      <c r="B513" t="s">
        <v>266</v>
      </c>
      <c r="C513" t="s">
        <v>283</v>
      </c>
      <c r="D513" t="s">
        <v>25</v>
      </c>
      <c r="E513" t="s">
        <v>26</v>
      </c>
      <c r="F513" t="s">
        <v>284</v>
      </c>
      <c r="G513">
        <v>110</v>
      </c>
      <c r="H513" t="s">
        <v>6</v>
      </c>
      <c r="I513" t="s">
        <v>234</v>
      </c>
      <c r="J513">
        <v>600000</v>
      </c>
      <c r="K513">
        <v>7</v>
      </c>
      <c r="L513">
        <f>VLOOKUP(Merge1[[#This Row],[제품코드]],공정중_우선순위[[제품코드]:[우선순위]],4,0)</f>
        <v>49</v>
      </c>
      <c r="M513" s="10" t="str">
        <f>_xlfn.TEXTJOIN(CHAR(10), TRUE, ,Merge1[[#This Row],[제품명]],Merge1[[#This Row],[오더번호]],Merge1[[#This Row],[제조번호]],Merge1[[#This Row],[지시수량]])</f>
        <v>크레트롤정10/10MG 반제품
1015511
A002928
600000</v>
      </c>
    </row>
    <row r="514" spans="1:13" ht="54" x14ac:dyDescent="0.25">
      <c r="A514" t="s">
        <v>200</v>
      </c>
      <c r="B514" t="s">
        <v>266</v>
      </c>
      <c r="C514" t="s">
        <v>267</v>
      </c>
      <c r="D514" t="s">
        <v>25</v>
      </c>
      <c r="E514" t="s">
        <v>26</v>
      </c>
      <c r="F514" t="s">
        <v>268</v>
      </c>
      <c r="G514">
        <v>110</v>
      </c>
      <c r="H514" t="s">
        <v>6</v>
      </c>
      <c r="I514" t="s">
        <v>234</v>
      </c>
      <c r="J514">
        <v>600000</v>
      </c>
      <c r="K514">
        <v>11</v>
      </c>
      <c r="L514">
        <f>VLOOKUP(Merge1[[#This Row],[제품코드]],공정중_우선순위[[제품코드]:[우선순위]],4,0)</f>
        <v>49</v>
      </c>
      <c r="M514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515" spans="1:13" ht="54" x14ac:dyDescent="0.25">
      <c r="A515" t="s">
        <v>200</v>
      </c>
      <c r="B515" t="s">
        <v>266</v>
      </c>
      <c r="C515" t="s">
        <v>267</v>
      </c>
      <c r="D515" t="s">
        <v>25</v>
      </c>
      <c r="E515" t="s">
        <v>26</v>
      </c>
      <c r="F515" t="s">
        <v>268</v>
      </c>
      <c r="G515">
        <v>110</v>
      </c>
      <c r="H515" t="s">
        <v>6</v>
      </c>
      <c r="I515" t="s">
        <v>234</v>
      </c>
      <c r="J515">
        <v>600000</v>
      </c>
      <c r="K515">
        <v>7</v>
      </c>
      <c r="L515">
        <f>VLOOKUP(Merge1[[#This Row],[제품코드]],공정중_우선순위[[제품코드]:[우선순위]],4,0)</f>
        <v>49</v>
      </c>
      <c r="M515" s="10" t="str">
        <f>_xlfn.TEXTJOIN(CHAR(10), TRUE, ,Merge1[[#This Row],[제품명]],Merge1[[#This Row],[오더번호]],Merge1[[#This Row],[제조번호]],Merge1[[#This Row],[지시수량]])</f>
        <v>크레트롤정10/10MG 반제품
1015617
A002962
600000</v>
      </c>
    </row>
    <row r="516" spans="1:13" ht="54" x14ac:dyDescent="0.25">
      <c r="A516" t="s">
        <v>200</v>
      </c>
      <c r="B516" t="s">
        <v>266</v>
      </c>
      <c r="C516" t="s">
        <v>270</v>
      </c>
      <c r="D516" t="s">
        <v>25</v>
      </c>
      <c r="E516" t="s">
        <v>26</v>
      </c>
      <c r="F516" t="s">
        <v>271</v>
      </c>
      <c r="G516">
        <v>110</v>
      </c>
      <c r="H516" t="s">
        <v>6</v>
      </c>
      <c r="I516" t="s">
        <v>234</v>
      </c>
      <c r="J516">
        <v>600000</v>
      </c>
      <c r="K516">
        <v>11</v>
      </c>
      <c r="L516">
        <f>VLOOKUP(Merge1[[#This Row],[제품코드]],공정중_우선순위[[제품코드]:[우선순위]],4,0)</f>
        <v>49</v>
      </c>
      <c r="M516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517" spans="1:13" ht="54" x14ac:dyDescent="0.25">
      <c r="A517" t="s">
        <v>200</v>
      </c>
      <c r="B517" t="s">
        <v>266</v>
      </c>
      <c r="C517" t="s">
        <v>270</v>
      </c>
      <c r="D517" t="s">
        <v>25</v>
      </c>
      <c r="E517" t="s">
        <v>26</v>
      </c>
      <c r="F517" t="s">
        <v>271</v>
      </c>
      <c r="G517">
        <v>110</v>
      </c>
      <c r="H517" t="s">
        <v>6</v>
      </c>
      <c r="I517" t="s">
        <v>234</v>
      </c>
      <c r="J517">
        <v>600000</v>
      </c>
      <c r="K517">
        <v>7</v>
      </c>
      <c r="L517">
        <f>VLOOKUP(Merge1[[#This Row],[제품코드]],공정중_우선순위[[제품코드]:[우선순위]],4,0)</f>
        <v>49</v>
      </c>
      <c r="M517" s="10" t="str">
        <f>_xlfn.TEXTJOIN(CHAR(10), TRUE, ,Merge1[[#This Row],[제품명]],Merge1[[#This Row],[오더번호]],Merge1[[#This Row],[제조번호]],Merge1[[#This Row],[지시수량]])</f>
        <v>크레트롤정10/10MG 반제품
1015618
A002963
600000</v>
      </c>
    </row>
    <row r="518" spans="1:13" ht="54" x14ac:dyDescent="0.25">
      <c r="A518" t="s">
        <v>200</v>
      </c>
      <c r="B518" t="s">
        <v>266</v>
      </c>
      <c r="C518" t="s">
        <v>272</v>
      </c>
      <c r="D518" t="s">
        <v>25</v>
      </c>
      <c r="E518" t="s">
        <v>26</v>
      </c>
      <c r="F518" t="s">
        <v>273</v>
      </c>
      <c r="G518">
        <v>110</v>
      </c>
      <c r="H518" t="s">
        <v>6</v>
      </c>
      <c r="I518" t="s">
        <v>234</v>
      </c>
      <c r="J518">
        <v>600000</v>
      </c>
      <c r="K518">
        <v>11</v>
      </c>
      <c r="L518">
        <f>VLOOKUP(Merge1[[#This Row],[제품코드]],공정중_우선순위[[제품코드]:[우선순위]],4,0)</f>
        <v>49</v>
      </c>
      <c r="M518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519" spans="1:13" ht="54" x14ac:dyDescent="0.25">
      <c r="A519" t="s">
        <v>200</v>
      </c>
      <c r="B519" t="s">
        <v>266</v>
      </c>
      <c r="C519" t="s">
        <v>272</v>
      </c>
      <c r="D519" t="s">
        <v>25</v>
      </c>
      <c r="E519" t="s">
        <v>26</v>
      </c>
      <c r="F519" t="s">
        <v>273</v>
      </c>
      <c r="G519">
        <v>110</v>
      </c>
      <c r="H519" t="s">
        <v>6</v>
      </c>
      <c r="I519" t="s">
        <v>234</v>
      </c>
      <c r="J519">
        <v>600000</v>
      </c>
      <c r="K519">
        <v>7</v>
      </c>
      <c r="L519">
        <f>VLOOKUP(Merge1[[#This Row],[제품코드]],공정중_우선순위[[제품코드]:[우선순위]],4,0)</f>
        <v>49</v>
      </c>
      <c r="M519" s="10" t="str">
        <f>_xlfn.TEXTJOIN(CHAR(10), TRUE, ,Merge1[[#This Row],[제품명]],Merge1[[#This Row],[오더번호]],Merge1[[#This Row],[제조번호]],Merge1[[#This Row],[지시수량]])</f>
        <v>크레트롤정10/10MG 반제품
1015619
A002964
600000</v>
      </c>
    </row>
    <row r="520" spans="1:13" ht="54" x14ac:dyDescent="0.25">
      <c r="A520" t="s">
        <v>200</v>
      </c>
      <c r="B520" t="s">
        <v>266</v>
      </c>
      <c r="C520" t="s">
        <v>274</v>
      </c>
      <c r="D520" t="s">
        <v>25</v>
      </c>
      <c r="E520" t="s">
        <v>26</v>
      </c>
      <c r="F520" t="s">
        <v>275</v>
      </c>
      <c r="G520">
        <v>110</v>
      </c>
      <c r="H520" t="s">
        <v>6</v>
      </c>
      <c r="I520" t="s">
        <v>234</v>
      </c>
      <c r="J520">
        <v>600000</v>
      </c>
      <c r="K520">
        <v>11</v>
      </c>
      <c r="L520">
        <f>VLOOKUP(Merge1[[#This Row],[제품코드]],공정중_우선순위[[제품코드]:[우선순위]],4,0)</f>
        <v>49</v>
      </c>
      <c r="M520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521" spans="1:13" ht="54" x14ac:dyDescent="0.25">
      <c r="A521" t="s">
        <v>200</v>
      </c>
      <c r="B521" t="s">
        <v>266</v>
      </c>
      <c r="C521" t="s">
        <v>274</v>
      </c>
      <c r="D521" t="s">
        <v>25</v>
      </c>
      <c r="E521" t="s">
        <v>26</v>
      </c>
      <c r="F521" t="s">
        <v>275</v>
      </c>
      <c r="G521">
        <v>110</v>
      </c>
      <c r="H521" t="s">
        <v>6</v>
      </c>
      <c r="I521" t="s">
        <v>234</v>
      </c>
      <c r="J521">
        <v>600000</v>
      </c>
      <c r="K521">
        <v>7</v>
      </c>
      <c r="L521">
        <f>VLOOKUP(Merge1[[#This Row],[제품코드]],공정중_우선순위[[제품코드]:[우선순위]],4,0)</f>
        <v>49</v>
      </c>
      <c r="M521" s="10" t="str">
        <f>_xlfn.TEXTJOIN(CHAR(10), TRUE, ,Merge1[[#This Row],[제품명]],Merge1[[#This Row],[오더번호]],Merge1[[#This Row],[제조번호]],Merge1[[#This Row],[지시수량]])</f>
        <v>크레트롤정10/10MG 반제품
1015649
A002969
600000</v>
      </c>
    </row>
    <row r="522" spans="1:13" ht="54" x14ac:dyDescent="0.25">
      <c r="A522" t="s">
        <v>200</v>
      </c>
      <c r="B522" t="s">
        <v>266</v>
      </c>
      <c r="C522" t="s">
        <v>276</v>
      </c>
      <c r="D522" t="s">
        <v>25</v>
      </c>
      <c r="E522" t="s">
        <v>26</v>
      </c>
      <c r="F522" t="s">
        <v>277</v>
      </c>
      <c r="G522">
        <v>110</v>
      </c>
      <c r="H522" t="s">
        <v>6</v>
      </c>
      <c r="I522" t="s">
        <v>234</v>
      </c>
      <c r="J522">
        <v>600000</v>
      </c>
      <c r="K522">
        <v>11</v>
      </c>
      <c r="L522">
        <f>VLOOKUP(Merge1[[#This Row],[제품코드]],공정중_우선순위[[제품코드]:[우선순위]],4,0)</f>
        <v>49</v>
      </c>
      <c r="M522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523" spans="1:13" ht="54" x14ac:dyDescent="0.25">
      <c r="A523" t="s">
        <v>200</v>
      </c>
      <c r="B523" t="s">
        <v>266</v>
      </c>
      <c r="C523" t="s">
        <v>276</v>
      </c>
      <c r="D523" t="s">
        <v>25</v>
      </c>
      <c r="E523" t="s">
        <v>26</v>
      </c>
      <c r="F523" t="s">
        <v>277</v>
      </c>
      <c r="G523">
        <v>110</v>
      </c>
      <c r="H523" t="s">
        <v>6</v>
      </c>
      <c r="I523" t="s">
        <v>234</v>
      </c>
      <c r="J523">
        <v>600000</v>
      </c>
      <c r="K523">
        <v>7</v>
      </c>
      <c r="L523">
        <f>VLOOKUP(Merge1[[#This Row],[제품코드]],공정중_우선순위[[제품코드]:[우선순위]],4,0)</f>
        <v>49</v>
      </c>
      <c r="M523" s="10" t="str">
        <f>_xlfn.TEXTJOIN(CHAR(10), TRUE, ,Merge1[[#This Row],[제품명]],Merge1[[#This Row],[오더번호]],Merge1[[#This Row],[제조번호]],Merge1[[#This Row],[지시수량]])</f>
        <v>크레트롤정10/10MG 반제품
1015650
A002970
600000</v>
      </c>
    </row>
    <row r="524" spans="1:13" ht="54" x14ac:dyDescent="0.25">
      <c r="A524" t="s">
        <v>200</v>
      </c>
      <c r="B524" t="s">
        <v>266</v>
      </c>
      <c r="C524" t="s">
        <v>278</v>
      </c>
      <c r="D524" t="s">
        <v>25</v>
      </c>
      <c r="E524" t="s">
        <v>26</v>
      </c>
      <c r="F524" t="s">
        <v>279</v>
      </c>
      <c r="G524">
        <v>110</v>
      </c>
      <c r="H524" t="s">
        <v>6</v>
      </c>
      <c r="I524" t="s">
        <v>234</v>
      </c>
      <c r="J524">
        <v>600000</v>
      </c>
      <c r="K524">
        <v>11</v>
      </c>
      <c r="L524">
        <f>VLOOKUP(Merge1[[#This Row],[제품코드]],공정중_우선순위[[제품코드]:[우선순위]],4,0)</f>
        <v>49</v>
      </c>
      <c r="M524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525" spans="1:13" ht="54" x14ac:dyDescent="0.25">
      <c r="A525" t="s">
        <v>200</v>
      </c>
      <c r="B525" t="s">
        <v>266</v>
      </c>
      <c r="C525" t="s">
        <v>278</v>
      </c>
      <c r="D525" t="s">
        <v>25</v>
      </c>
      <c r="E525" t="s">
        <v>26</v>
      </c>
      <c r="F525" t="s">
        <v>279</v>
      </c>
      <c r="G525">
        <v>110</v>
      </c>
      <c r="H525" t="s">
        <v>6</v>
      </c>
      <c r="I525" t="s">
        <v>234</v>
      </c>
      <c r="J525">
        <v>600000</v>
      </c>
      <c r="K525">
        <v>7</v>
      </c>
      <c r="L525">
        <f>VLOOKUP(Merge1[[#This Row],[제품코드]],공정중_우선순위[[제품코드]:[우선순위]],4,0)</f>
        <v>49</v>
      </c>
      <c r="M525" s="10" t="str">
        <f>_xlfn.TEXTJOIN(CHAR(10), TRUE, ,Merge1[[#This Row],[제품명]],Merge1[[#This Row],[오더번호]],Merge1[[#This Row],[제조번호]],Merge1[[#This Row],[지시수량]])</f>
        <v>크레트롤정10/10MG 반제품
1015673
A002971
600000</v>
      </c>
    </row>
    <row r="526" spans="1:13" ht="67.5" x14ac:dyDescent="0.25">
      <c r="A526" t="s">
        <v>200</v>
      </c>
      <c r="B526" t="s">
        <v>266</v>
      </c>
      <c r="C526" t="s">
        <v>380</v>
      </c>
      <c r="D526" t="s">
        <v>54</v>
      </c>
      <c r="E526" t="s">
        <v>55</v>
      </c>
      <c r="F526" t="s">
        <v>381</v>
      </c>
      <c r="G526">
        <v>20</v>
      </c>
      <c r="H526" t="s">
        <v>3</v>
      </c>
      <c r="I526" t="s">
        <v>269</v>
      </c>
      <c r="J526">
        <v>600000</v>
      </c>
      <c r="K526">
        <v>18</v>
      </c>
      <c r="L526">
        <f>VLOOKUP(Merge1[[#This Row],[제품코드]],공정중_우선순위[[제품코드]:[우선순위]],4,0)</f>
        <v>50</v>
      </c>
      <c r="M526" s="10" t="str">
        <f>_xlfn.TEXTJOIN(CHAR(10), TRUE, ,Merge1[[#This Row],[제품명]],Merge1[[#This Row],[오더번호]],Merge1[[#This Row],[제조번호]],Merge1[[#This Row],[지시수량]])</f>
        <v>이지산트정10/10MG 반제품 (보령)
1015651
E00300
600000</v>
      </c>
    </row>
    <row r="527" spans="1:13" ht="67.5" x14ac:dyDescent="0.25">
      <c r="A527" t="s">
        <v>200</v>
      </c>
      <c r="B527" t="s">
        <v>266</v>
      </c>
      <c r="C527" t="s">
        <v>380</v>
      </c>
      <c r="D527" t="s">
        <v>54</v>
      </c>
      <c r="E527" t="s">
        <v>55</v>
      </c>
      <c r="F527" t="s">
        <v>381</v>
      </c>
      <c r="G527">
        <v>50</v>
      </c>
      <c r="H527" t="s">
        <v>4</v>
      </c>
      <c r="I527" t="s">
        <v>382</v>
      </c>
      <c r="J527">
        <v>600000</v>
      </c>
      <c r="K527">
        <v>5</v>
      </c>
      <c r="L527">
        <f>VLOOKUP(Merge1[[#This Row],[제품코드]],공정중_우선순위[[제품코드]:[우선순위]],4,0)</f>
        <v>50</v>
      </c>
      <c r="M527" s="10" t="str">
        <f>_xlfn.TEXTJOIN(CHAR(10), TRUE, ,Merge1[[#This Row],[제품명]],Merge1[[#This Row],[오더번호]],Merge1[[#This Row],[제조번호]],Merge1[[#This Row],[지시수량]])</f>
        <v>이지산트정10/10MG 반제품 (보령)
1015651
E00300
600000</v>
      </c>
    </row>
    <row r="528" spans="1:13" ht="67.5" x14ac:dyDescent="0.25">
      <c r="A528" t="s">
        <v>200</v>
      </c>
      <c r="B528" t="s">
        <v>266</v>
      </c>
      <c r="C528" t="s">
        <v>380</v>
      </c>
      <c r="D528" t="s">
        <v>54</v>
      </c>
      <c r="E528" t="s">
        <v>55</v>
      </c>
      <c r="F528" t="s">
        <v>381</v>
      </c>
      <c r="G528">
        <v>60</v>
      </c>
      <c r="H528" t="s">
        <v>5</v>
      </c>
      <c r="I528" t="s">
        <v>280</v>
      </c>
      <c r="J528">
        <v>600000</v>
      </c>
      <c r="K528">
        <v>15</v>
      </c>
      <c r="L528">
        <f>VLOOKUP(Merge1[[#This Row],[제품코드]],공정중_우선순위[[제품코드]:[우선순위]],4,0)</f>
        <v>50</v>
      </c>
      <c r="M528" s="10" t="str">
        <f>_xlfn.TEXTJOIN(CHAR(10), TRUE, ,Merge1[[#This Row],[제품명]],Merge1[[#This Row],[오더번호]],Merge1[[#This Row],[제조번호]],Merge1[[#This Row],[지시수량]])</f>
        <v>이지산트정10/10MG 반제품 (보령)
1015651
E00300
600000</v>
      </c>
    </row>
    <row r="529" spans="1:13" ht="67.5" x14ac:dyDescent="0.25">
      <c r="A529" t="s">
        <v>200</v>
      </c>
      <c r="B529" t="s">
        <v>266</v>
      </c>
      <c r="C529" t="s">
        <v>380</v>
      </c>
      <c r="D529" t="s">
        <v>54</v>
      </c>
      <c r="E529" t="s">
        <v>55</v>
      </c>
      <c r="F529" t="s">
        <v>381</v>
      </c>
      <c r="G529">
        <v>80</v>
      </c>
      <c r="H529" t="s">
        <v>9</v>
      </c>
      <c r="I529" t="s">
        <v>327</v>
      </c>
      <c r="J529">
        <v>600000</v>
      </c>
      <c r="K529">
        <v>10</v>
      </c>
      <c r="L529">
        <f>VLOOKUP(Merge1[[#This Row],[제품코드]],공정중_우선순위[[제품코드]:[우선순위]],4,0)</f>
        <v>50</v>
      </c>
      <c r="M529" s="10" t="str">
        <f>_xlfn.TEXTJOIN(CHAR(10), TRUE, ,Merge1[[#This Row],[제품명]],Merge1[[#This Row],[오더번호]],Merge1[[#This Row],[제조번호]],Merge1[[#This Row],[지시수량]])</f>
        <v>이지산트정10/10MG 반제품 (보령)
1015651
E00300
600000</v>
      </c>
    </row>
    <row r="530" spans="1:13" ht="67.5" x14ac:dyDescent="0.25">
      <c r="A530" t="s">
        <v>200</v>
      </c>
      <c r="B530" t="s">
        <v>266</v>
      </c>
      <c r="C530" t="s">
        <v>380</v>
      </c>
      <c r="D530" t="s">
        <v>54</v>
      </c>
      <c r="E530" t="s">
        <v>55</v>
      </c>
      <c r="F530" t="s">
        <v>381</v>
      </c>
      <c r="G530">
        <v>110</v>
      </c>
      <c r="H530" t="s">
        <v>6</v>
      </c>
      <c r="I530" t="s">
        <v>234</v>
      </c>
      <c r="J530">
        <v>600000</v>
      </c>
      <c r="K530">
        <v>4</v>
      </c>
      <c r="L530">
        <f>VLOOKUP(Merge1[[#This Row],[제품코드]],공정중_우선순위[[제품코드]:[우선순위]],4,0)</f>
        <v>50</v>
      </c>
      <c r="M530" s="10" t="str">
        <f>_xlfn.TEXTJOIN(CHAR(10), TRUE, ,Merge1[[#This Row],[제품명]],Merge1[[#This Row],[오더번호]],Merge1[[#This Row],[제조번호]],Merge1[[#This Row],[지시수량]])</f>
        <v>이지산트정10/10MG 반제품 (보령)
1015651
E00300
600000</v>
      </c>
    </row>
    <row r="531" spans="1:13" ht="54" x14ac:dyDescent="0.25">
      <c r="A531" t="s">
        <v>200</v>
      </c>
      <c r="B531" t="s">
        <v>311</v>
      </c>
      <c r="C531" t="s">
        <v>312</v>
      </c>
      <c r="D531" t="s">
        <v>34</v>
      </c>
      <c r="E531" t="s">
        <v>35</v>
      </c>
      <c r="F531" t="s">
        <v>313</v>
      </c>
      <c r="G531">
        <v>60</v>
      </c>
      <c r="H531" t="s">
        <v>5</v>
      </c>
      <c r="I531" t="s">
        <v>280</v>
      </c>
      <c r="J531">
        <v>200000</v>
      </c>
      <c r="K531">
        <v>18</v>
      </c>
      <c r="L531">
        <f>VLOOKUP(Merge1[[#This Row],[제품코드]],공정중_우선순위[[제품코드]:[우선순위]],4,0)</f>
        <v>51</v>
      </c>
      <c r="M531" s="10" t="str">
        <f>_xlfn.TEXTJOIN(CHAR(10), TRUE, ,Merge1[[#This Row],[제품명]],Merge1[[#This Row],[오더번호]],Merge1[[#This Row],[제조번호]],Merge1[[#This Row],[지시수량]])</f>
        <v>크레트롤정10/20MG 반제품
1015527
A002931
200000</v>
      </c>
    </row>
    <row r="532" spans="1:13" ht="54" x14ac:dyDescent="0.25">
      <c r="A532" t="s">
        <v>200</v>
      </c>
      <c r="B532" t="s">
        <v>311</v>
      </c>
      <c r="C532" t="s">
        <v>312</v>
      </c>
      <c r="D532" t="s">
        <v>34</v>
      </c>
      <c r="E532" t="s">
        <v>35</v>
      </c>
      <c r="F532" t="s">
        <v>313</v>
      </c>
      <c r="G532">
        <v>60</v>
      </c>
      <c r="H532" t="s">
        <v>5</v>
      </c>
      <c r="I532" t="s">
        <v>280</v>
      </c>
      <c r="J532">
        <v>200000</v>
      </c>
      <c r="K532">
        <v>24</v>
      </c>
      <c r="L532">
        <f>VLOOKUP(Merge1[[#This Row],[제품코드]],공정중_우선순위[[제품코드]:[우선순위]],4,0)</f>
        <v>51</v>
      </c>
      <c r="M532" s="10" t="str">
        <f>_xlfn.TEXTJOIN(CHAR(10), TRUE, ,Merge1[[#This Row],[제품명]],Merge1[[#This Row],[오더번호]],Merge1[[#This Row],[제조번호]],Merge1[[#This Row],[지시수량]])</f>
        <v>크레트롤정10/20MG 반제품
1015527
A002931
200000</v>
      </c>
    </row>
    <row r="533" spans="1:13" ht="54" x14ac:dyDescent="0.25">
      <c r="A533" t="s">
        <v>200</v>
      </c>
      <c r="B533" t="s">
        <v>311</v>
      </c>
      <c r="C533" t="s">
        <v>314</v>
      </c>
      <c r="D533" t="s">
        <v>34</v>
      </c>
      <c r="E533" t="s">
        <v>35</v>
      </c>
      <c r="F533" t="s">
        <v>315</v>
      </c>
      <c r="G533">
        <v>60</v>
      </c>
      <c r="H533" t="s">
        <v>5</v>
      </c>
      <c r="I533" t="s">
        <v>280</v>
      </c>
      <c r="J533">
        <v>200000</v>
      </c>
      <c r="K533">
        <v>18</v>
      </c>
      <c r="L533">
        <f>VLOOKUP(Merge1[[#This Row],[제품코드]],공정중_우선순위[[제품코드]:[우선순위]],4,0)</f>
        <v>51</v>
      </c>
      <c r="M533" s="10" t="str">
        <f>_xlfn.TEXTJOIN(CHAR(10), TRUE, ,Merge1[[#This Row],[제품명]],Merge1[[#This Row],[오더번호]],Merge1[[#This Row],[제조번호]],Merge1[[#This Row],[지시수량]])</f>
        <v>크레트롤정10/20MG 반제품
1015528
A002932
200000</v>
      </c>
    </row>
    <row r="534" spans="1:13" ht="54" x14ac:dyDescent="0.25">
      <c r="A534" t="s">
        <v>200</v>
      </c>
      <c r="B534" t="s">
        <v>311</v>
      </c>
      <c r="C534" t="s">
        <v>314</v>
      </c>
      <c r="D534" t="s">
        <v>34</v>
      </c>
      <c r="E534" t="s">
        <v>35</v>
      </c>
      <c r="F534" t="s">
        <v>315</v>
      </c>
      <c r="G534">
        <v>60</v>
      </c>
      <c r="H534" t="s">
        <v>5</v>
      </c>
      <c r="I534" t="s">
        <v>280</v>
      </c>
      <c r="J534">
        <v>200000</v>
      </c>
      <c r="K534">
        <v>24</v>
      </c>
      <c r="L534">
        <f>VLOOKUP(Merge1[[#This Row],[제품코드]],공정중_우선순위[[제품코드]:[우선순위]],4,0)</f>
        <v>51</v>
      </c>
      <c r="M534" s="10" t="str">
        <f>_xlfn.TEXTJOIN(CHAR(10), TRUE, ,Merge1[[#This Row],[제품명]],Merge1[[#This Row],[오더번호]],Merge1[[#This Row],[제조번호]],Merge1[[#This Row],[지시수량]])</f>
        <v>크레트롤정10/20MG 반제품
1015528
A002932
200000</v>
      </c>
    </row>
    <row r="535" spans="1:13" ht="54" x14ac:dyDescent="0.25">
      <c r="A535" t="s">
        <v>200</v>
      </c>
      <c r="B535" t="s">
        <v>311</v>
      </c>
      <c r="C535" t="s">
        <v>312</v>
      </c>
      <c r="D535" t="s">
        <v>34</v>
      </c>
      <c r="E535" t="s">
        <v>35</v>
      </c>
      <c r="F535" t="s">
        <v>313</v>
      </c>
      <c r="G535">
        <v>80</v>
      </c>
      <c r="H535" t="s">
        <v>9</v>
      </c>
      <c r="I535" t="s">
        <v>316</v>
      </c>
      <c r="J535">
        <v>200000</v>
      </c>
      <c r="K535">
        <v>6</v>
      </c>
      <c r="L535">
        <f>VLOOKUP(Merge1[[#This Row],[제품코드]],공정중_우선순위[[제품코드]:[우선순위]],4,0)</f>
        <v>51</v>
      </c>
      <c r="M535" s="10" t="str">
        <f>_xlfn.TEXTJOIN(CHAR(10), TRUE, ,Merge1[[#This Row],[제품명]],Merge1[[#This Row],[오더번호]],Merge1[[#This Row],[제조번호]],Merge1[[#This Row],[지시수량]])</f>
        <v>크레트롤정10/20MG 반제품
1015527
A002931
200000</v>
      </c>
    </row>
    <row r="536" spans="1:13" ht="54" x14ac:dyDescent="0.25">
      <c r="A536" t="s">
        <v>200</v>
      </c>
      <c r="B536" t="s">
        <v>311</v>
      </c>
      <c r="C536" t="s">
        <v>312</v>
      </c>
      <c r="D536" t="s">
        <v>34</v>
      </c>
      <c r="E536" t="s">
        <v>35</v>
      </c>
      <c r="F536" t="s">
        <v>313</v>
      </c>
      <c r="G536">
        <v>80</v>
      </c>
      <c r="H536" t="s">
        <v>9</v>
      </c>
      <c r="I536" t="s">
        <v>316</v>
      </c>
      <c r="J536">
        <v>200000</v>
      </c>
      <c r="K536">
        <v>6</v>
      </c>
      <c r="L536">
        <f>VLOOKUP(Merge1[[#This Row],[제품코드]],공정중_우선순위[[제품코드]:[우선순위]],4,0)</f>
        <v>51</v>
      </c>
      <c r="M536" s="10" t="str">
        <f>_xlfn.TEXTJOIN(CHAR(10), TRUE, ,Merge1[[#This Row],[제품명]],Merge1[[#This Row],[오더번호]],Merge1[[#This Row],[제조번호]],Merge1[[#This Row],[지시수량]])</f>
        <v>크레트롤정10/20MG 반제품
1015527
A002931
200000</v>
      </c>
    </row>
    <row r="537" spans="1:13" ht="54" x14ac:dyDescent="0.25">
      <c r="A537" t="s">
        <v>200</v>
      </c>
      <c r="B537" t="s">
        <v>311</v>
      </c>
      <c r="C537" t="s">
        <v>314</v>
      </c>
      <c r="D537" t="s">
        <v>34</v>
      </c>
      <c r="E537" t="s">
        <v>35</v>
      </c>
      <c r="F537" t="s">
        <v>315</v>
      </c>
      <c r="G537">
        <v>80</v>
      </c>
      <c r="H537" t="s">
        <v>9</v>
      </c>
      <c r="I537" t="s">
        <v>316</v>
      </c>
      <c r="J537">
        <v>200000</v>
      </c>
      <c r="K537">
        <v>6</v>
      </c>
      <c r="L537">
        <f>VLOOKUP(Merge1[[#This Row],[제품코드]],공정중_우선순위[[제품코드]:[우선순위]],4,0)</f>
        <v>51</v>
      </c>
      <c r="M537" s="10" t="str">
        <f>_xlfn.TEXTJOIN(CHAR(10), TRUE, ,Merge1[[#This Row],[제품명]],Merge1[[#This Row],[오더번호]],Merge1[[#This Row],[제조번호]],Merge1[[#This Row],[지시수량]])</f>
        <v>크레트롤정10/20MG 반제품
1015528
A002932
200000</v>
      </c>
    </row>
    <row r="538" spans="1:13" ht="54" x14ac:dyDescent="0.25">
      <c r="A538" t="s">
        <v>200</v>
      </c>
      <c r="B538" t="s">
        <v>311</v>
      </c>
      <c r="C538" t="s">
        <v>314</v>
      </c>
      <c r="D538" t="s">
        <v>34</v>
      </c>
      <c r="E538" t="s">
        <v>35</v>
      </c>
      <c r="F538" t="s">
        <v>315</v>
      </c>
      <c r="G538">
        <v>80</v>
      </c>
      <c r="H538" t="s">
        <v>9</v>
      </c>
      <c r="I538" t="s">
        <v>316</v>
      </c>
      <c r="J538">
        <v>200000</v>
      </c>
      <c r="K538">
        <v>6</v>
      </c>
      <c r="L538">
        <f>VLOOKUP(Merge1[[#This Row],[제품코드]],공정중_우선순위[[제품코드]:[우선순위]],4,0)</f>
        <v>51</v>
      </c>
      <c r="M538" s="10" t="str">
        <f>_xlfn.TEXTJOIN(CHAR(10), TRUE, ,Merge1[[#This Row],[제품명]],Merge1[[#This Row],[오더번호]],Merge1[[#This Row],[제조번호]],Merge1[[#This Row],[지시수량]])</f>
        <v>크레트롤정10/20MG 반제품
1015528
A002932
200000</v>
      </c>
    </row>
    <row r="539" spans="1:13" ht="54" x14ac:dyDescent="0.25">
      <c r="A539" t="s">
        <v>200</v>
      </c>
      <c r="B539" t="s">
        <v>311</v>
      </c>
      <c r="C539" t="s">
        <v>312</v>
      </c>
      <c r="D539" t="s">
        <v>34</v>
      </c>
      <c r="E539" t="s">
        <v>35</v>
      </c>
      <c r="F539" t="s">
        <v>313</v>
      </c>
      <c r="G539">
        <v>110</v>
      </c>
      <c r="H539" t="s">
        <v>6</v>
      </c>
      <c r="I539" t="s">
        <v>234</v>
      </c>
      <c r="J539">
        <v>200000</v>
      </c>
      <c r="K539">
        <v>5</v>
      </c>
      <c r="L539">
        <f>VLOOKUP(Merge1[[#This Row],[제품코드]],공정중_우선순위[[제품코드]:[우선순위]],4,0)</f>
        <v>51</v>
      </c>
      <c r="M539" s="10" t="str">
        <f>_xlfn.TEXTJOIN(CHAR(10), TRUE, ,Merge1[[#This Row],[제품명]],Merge1[[#This Row],[오더번호]],Merge1[[#This Row],[제조번호]],Merge1[[#This Row],[지시수량]])</f>
        <v>크레트롤정10/20MG 반제품
1015527
A002931
200000</v>
      </c>
    </row>
    <row r="540" spans="1:13" ht="54" x14ac:dyDescent="0.25">
      <c r="A540" t="s">
        <v>200</v>
      </c>
      <c r="B540" t="s">
        <v>311</v>
      </c>
      <c r="C540" t="s">
        <v>312</v>
      </c>
      <c r="D540" t="s">
        <v>34</v>
      </c>
      <c r="E540" t="s">
        <v>35</v>
      </c>
      <c r="F540" t="s">
        <v>313</v>
      </c>
      <c r="G540">
        <v>110</v>
      </c>
      <c r="H540" t="s">
        <v>6</v>
      </c>
      <c r="I540" t="s">
        <v>234</v>
      </c>
      <c r="J540">
        <v>200000</v>
      </c>
      <c r="K540">
        <v>4</v>
      </c>
      <c r="L540">
        <f>VLOOKUP(Merge1[[#This Row],[제품코드]],공정중_우선순위[[제품코드]:[우선순위]],4,0)</f>
        <v>51</v>
      </c>
      <c r="M540" s="10" t="str">
        <f>_xlfn.TEXTJOIN(CHAR(10), TRUE, ,Merge1[[#This Row],[제품명]],Merge1[[#This Row],[오더번호]],Merge1[[#This Row],[제조번호]],Merge1[[#This Row],[지시수량]])</f>
        <v>크레트롤정10/20MG 반제품
1015527
A002931
200000</v>
      </c>
    </row>
    <row r="541" spans="1:13" ht="54" x14ac:dyDescent="0.25">
      <c r="A541" t="s">
        <v>200</v>
      </c>
      <c r="B541" t="s">
        <v>311</v>
      </c>
      <c r="C541" t="s">
        <v>314</v>
      </c>
      <c r="D541" t="s">
        <v>34</v>
      </c>
      <c r="E541" t="s">
        <v>35</v>
      </c>
      <c r="F541" t="s">
        <v>315</v>
      </c>
      <c r="G541">
        <v>110</v>
      </c>
      <c r="H541" t="s">
        <v>6</v>
      </c>
      <c r="I541" t="s">
        <v>234</v>
      </c>
      <c r="J541">
        <v>200000</v>
      </c>
      <c r="K541">
        <v>5</v>
      </c>
      <c r="L541">
        <f>VLOOKUP(Merge1[[#This Row],[제품코드]],공정중_우선순위[[제품코드]:[우선순위]],4,0)</f>
        <v>51</v>
      </c>
      <c r="M541" s="10" t="str">
        <f>_xlfn.TEXTJOIN(CHAR(10), TRUE, ,Merge1[[#This Row],[제품명]],Merge1[[#This Row],[오더번호]],Merge1[[#This Row],[제조번호]],Merge1[[#This Row],[지시수량]])</f>
        <v>크레트롤정10/20MG 반제품
1015528
A002932
200000</v>
      </c>
    </row>
    <row r="542" spans="1:13" ht="54" x14ac:dyDescent="0.25">
      <c r="A542" t="s">
        <v>200</v>
      </c>
      <c r="B542" t="s">
        <v>311</v>
      </c>
      <c r="C542" t="s">
        <v>314</v>
      </c>
      <c r="D542" t="s">
        <v>34</v>
      </c>
      <c r="E542" t="s">
        <v>35</v>
      </c>
      <c r="F542" t="s">
        <v>315</v>
      </c>
      <c r="G542">
        <v>110</v>
      </c>
      <c r="H542" t="s">
        <v>6</v>
      </c>
      <c r="I542" t="s">
        <v>234</v>
      </c>
      <c r="J542">
        <v>200000</v>
      </c>
      <c r="K542">
        <v>4</v>
      </c>
      <c r="L542">
        <f>VLOOKUP(Merge1[[#This Row],[제품코드]],공정중_우선순위[[제품코드]:[우선순위]],4,0)</f>
        <v>51</v>
      </c>
      <c r="M542" s="10" t="str">
        <f>_xlfn.TEXTJOIN(CHAR(10), TRUE, ,Merge1[[#This Row],[제품명]],Merge1[[#This Row],[오더번호]],Merge1[[#This Row],[제조번호]],Merge1[[#This Row],[지시수량]])</f>
        <v>크레트롤정10/20MG 반제품
1015528
A002932
200000</v>
      </c>
    </row>
    <row r="543" spans="1:13" ht="54" x14ac:dyDescent="0.25">
      <c r="A543" t="s">
        <v>200</v>
      </c>
      <c r="B543" t="s">
        <v>300</v>
      </c>
      <c r="C543" t="s">
        <v>301</v>
      </c>
      <c r="D543" t="s">
        <v>32</v>
      </c>
      <c r="E543" t="s">
        <v>33</v>
      </c>
      <c r="F543" t="s">
        <v>302</v>
      </c>
      <c r="G543">
        <v>20</v>
      </c>
      <c r="H543" t="s">
        <v>3</v>
      </c>
      <c r="I543" t="s">
        <v>269</v>
      </c>
      <c r="J543">
        <v>1000000</v>
      </c>
      <c r="K543">
        <v>13</v>
      </c>
      <c r="L543">
        <f>VLOOKUP(Merge1[[#This Row],[제품코드]],공정중_우선순위[[제품코드]:[우선순위]],4,0)</f>
        <v>52</v>
      </c>
      <c r="M543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44" spans="1:13" ht="54" x14ac:dyDescent="0.25">
      <c r="A544" t="s">
        <v>200</v>
      </c>
      <c r="B544" t="s">
        <v>300</v>
      </c>
      <c r="C544" t="s">
        <v>301</v>
      </c>
      <c r="D544" t="s">
        <v>32</v>
      </c>
      <c r="E544" t="s">
        <v>33</v>
      </c>
      <c r="F544" t="s">
        <v>302</v>
      </c>
      <c r="G544">
        <v>20</v>
      </c>
      <c r="H544" t="s">
        <v>3</v>
      </c>
      <c r="I544" t="s">
        <v>269</v>
      </c>
      <c r="J544">
        <v>1000000</v>
      </c>
      <c r="K544">
        <v>13</v>
      </c>
      <c r="L544">
        <f>VLOOKUP(Merge1[[#This Row],[제품코드]],공정중_우선순위[[제품코드]:[우선순위]],4,0)</f>
        <v>52</v>
      </c>
      <c r="M544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45" spans="1:13" ht="54" x14ac:dyDescent="0.25">
      <c r="A545" t="s">
        <v>200</v>
      </c>
      <c r="B545" t="s">
        <v>300</v>
      </c>
      <c r="C545" t="s">
        <v>303</v>
      </c>
      <c r="D545" t="s">
        <v>32</v>
      </c>
      <c r="E545" t="s">
        <v>33</v>
      </c>
      <c r="F545" t="s">
        <v>304</v>
      </c>
      <c r="G545">
        <v>20</v>
      </c>
      <c r="H545" t="s">
        <v>3</v>
      </c>
      <c r="I545" t="s">
        <v>269</v>
      </c>
      <c r="J545">
        <v>1000000</v>
      </c>
      <c r="K545">
        <v>13</v>
      </c>
      <c r="L545">
        <f>VLOOKUP(Merge1[[#This Row],[제품코드]],공정중_우선순위[[제품코드]:[우선순위]],4,0)</f>
        <v>52</v>
      </c>
      <c r="M545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46" spans="1:13" ht="54" x14ac:dyDescent="0.25">
      <c r="A546" t="s">
        <v>200</v>
      </c>
      <c r="B546" t="s">
        <v>300</v>
      </c>
      <c r="C546" t="s">
        <v>303</v>
      </c>
      <c r="D546" t="s">
        <v>32</v>
      </c>
      <c r="E546" t="s">
        <v>33</v>
      </c>
      <c r="F546" t="s">
        <v>304</v>
      </c>
      <c r="G546">
        <v>20</v>
      </c>
      <c r="H546" t="s">
        <v>3</v>
      </c>
      <c r="I546" t="s">
        <v>269</v>
      </c>
      <c r="J546">
        <v>1000000</v>
      </c>
      <c r="K546">
        <v>13</v>
      </c>
      <c r="L546">
        <f>VLOOKUP(Merge1[[#This Row],[제품코드]],공정중_우선순위[[제품코드]:[우선순위]],4,0)</f>
        <v>52</v>
      </c>
      <c r="M546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47" spans="1:13" ht="54" x14ac:dyDescent="0.25">
      <c r="A547" t="s">
        <v>200</v>
      </c>
      <c r="B547" t="s">
        <v>300</v>
      </c>
      <c r="C547" t="s">
        <v>305</v>
      </c>
      <c r="D547" t="s">
        <v>32</v>
      </c>
      <c r="E547" t="s">
        <v>33</v>
      </c>
      <c r="F547" t="s">
        <v>306</v>
      </c>
      <c r="G547">
        <v>20</v>
      </c>
      <c r="H547" t="s">
        <v>3</v>
      </c>
      <c r="I547" t="s">
        <v>269</v>
      </c>
      <c r="J547">
        <v>1000000</v>
      </c>
      <c r="K547">
        <v>13</v>
      </c>
      <c r="L547">
        <f>VLOOKUP(Merge1[[#This Row],[제품코드]],공정중_우선순위[[제품코드]:[우선순위]],4,0)</f>
        <v>52</v>
      </c>
      <c r="M547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48" spans="1:13" ht="54" x14ac:dyDescent="0.25">
      <c r="A548" t="s">
        <v>200</v>
      </c>
      <c r="B548" t="s">
        <v>300</v>
      </c>
      <c r="C548" t="s">
        <v>305</v>
      </c>
      <c r="D548" t="s">
        <v>32</v>
      </c>
      <c r="E548" t="s">
        <v>33</v>
      </c>
      <c r="F548" t="s">
        <v>306</v>
      </c>
      <c r="G548">
        <v>20</v>
      </c>
      <c r="H548" t="s">
        <v>3</v>
      </c>
      <c r="I548" t="s">
        <v>269</v>
      </c>
      <c r="J548">
        <v>1000000</v>
      </c>
      <c r="K548">
        <v>13</v>
      </c>
      <c r="L548">
        <f>VLOOKUP(Merge1[[#This Row],[제품코드]],공정중_우선순위[[제품코드]:[우선순위]],4,0)</f>
        <v>52</v>
      </c>
      <c r="M548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49" spans="1:13" ht="54" x14ac:dyDescent="0.25">
      <c r="A549" t="s">
        <v>200</v>
      </c>
      <c r="B549" t="s">
        <v>300</v>
      </c>
      <c r="C549" t="s">
        <v>301</v>
      </c>
      <c r="D549" t="s">
        <v>32</v>
      </c>
      <c r="E549" t="s">
        <v>33</v>
      </c>
      <c r="F549" t="s">
        <v>302</v>
      </c>
      <c r="G549">
        <v>50</v>
      </c>
      <c r="H549" t="s">
        <v>4</v>
      </c>
      <c r="I549" t="s">
        <v>222</v>
      </c>
      <c r="J549">
        <v>1000000</v>
      </c>
      <c r="K549">
        <v>3</v>
      </c>
      <c r="L549">
        <f>VLOOKUP(Merge1[[#This Row],[제품코드]],공정중_우선순위[[제품코드]:[우선순위]],4,0)</f>
        <v>52</v>
      </c>
      <c r="M549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50" spans="1:13" ht="54" x14ac:dyDescent="0.25">
      <c r="A550" t="s">
        <v>200</v>
      </c>
      <c r="B550" t="s">
        <v>300</v>
      </c>
      <c r="C550" t="s">
        <v>301</v>
      </c>
      <c r="D550" t="s">
        <v>32</v>
      </c>
      <c r="E550" t="s">
        <v>33</v>
      </c>
      <c r="F550" t="s">
        <v>302</v>
      </c>
      <c r="G550">
        <v>50</v>
      </c>
      <c r="H550" t="s">
        <v>4</v>
      </c>
      <c r="I550" t="s">
        <v>222</v>
      </c>
      <c r="J550">
        <v>1000000</v>
      </c>
      <c r="K550">
        <v>3</v>
      </c>
      <c r="L550">
        <f>VLOOKUP(Merge1[[#This Row],[제품코드]],공정중_우선순위[[제품코드]:[우선순위]],4,0)</f>
        <v>52</v>
      </c>
      <c r="M550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51" spans="1:13" ht="54" x14ac:dyDescent="0.25">
      <c r="A551" t="s">
        <v>200</v>
      </c>
      <c r="B551" t="s">
        <v>300</v>
      </c>
      <c r="C551" t="s">
        <v>303</v>
      </c>
      <c r="D551" t="s">
        <v>32</v>
      </c>
      <c r="E551" t="s">
        <v>33</v>
      </c>
      <c r="F551" t="s">
        <v>304</v>
      </c>
      <c r="G551">
        <v>50</v>
      </c>
      <c r="H551" t="s">
        <v>4</v>
      </c>
      <c r="I551" t="s">
        <v>222</v>
      </c>
      <c r="J551">
        <v>1000000</v>
      </c>
      <c r="K551">
        <v>3</v>
      </c>
      <c r="L551">
        <f>VLOOKUP(Merge1[[#This Row],[제품코드]],공정중_우선순위[[제품코드]:[우선순위]],4,0)</f>
        <v>52</v>
      </c>
      <c r="M551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52" spans="1:13" ht="54" x14ac:dyDescent="0.25">
      <c r="A552" t="s">
        <v>200</v>
      </c>
      <c r="B552" t="s">
        <v>300</v>
      </c>
      <c r="C552" t="s">
        <v>303</v>
      </c>
      <c r="D552" t="s">
        <v>32</v>
      </c>
      <c r="E552" t="s">
        <v>33</v>
      </c>
      <c r="F552" t="s">
        <v>304</v>
      </c>
      <c r="G552">
        <v>50</v>
      </c>
      <c r="H552" t="s">
        <v>4</v>
      </c>
      <c r="I552" t="s">
        <v>222</v>
      </c>
      <c r="J552">
        <v>1000000</v>
      </c>
      <c r="K552">
        <v>3</v>
      </c>
      <c r="L552">
        <f>VLOOKUP(Merge1[[#This Row],[제품코드]],공정중_우선순위[[제품코드]:[우선순위]],4,0)</f>
        <v>52</v>
      </c>
      <c r="M552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53" spans="1:13" ht="54" x14ac:dyDescent="0.25">
      <c r="A553" t="s">
        <v>200</v>
      </c>
      <c r="B553" t="s">
        <v>300</v>
      </c>
      <c r="C553" t="s">
        <v>305</v>
      </c>
      <c r="D553" t="s">
        <v>32</v>
      </c>
      <c r="E553" t="s">
        <v>33</v>
      </c>
      <c r="F553" t="s">
        <v>306</v>
      </c>
      <c r="G553">
        <v>50</v>
      </c>
      <c r="H553" t="s">
        <v>4</v>
      </c>
      <c r="I553" t="s">
        <v>222</v>
      </c>
      <c r="J553">
        <v>1000000</v>
      </c>
      <c r="K553">
        <v>3</v>
      </c>
      <c r="L553">
        <f>VLOOKUP(Merge1[[#This Row],[제품코드]],공정중_우선순위[[제품코드]:[우선순위]],4,0)</f>
        <v>52</v>
      </c>
      <c r="M553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54" spans="1:13" ht="54" x14ac:dyDescent="0.25">
      <c r="A554" t="s">
        <v>200</v>
      </c>
      <c r="B554" t="s">
        <v>300</v>
      </c>
      <c r="C554" t="s">
        <v>305</v>
      </c>
      <c r="D554" t="s">
        <v>32</v>
      </c>
      <c r="E554" t="s">
        <v>33</v>
      </c>
      <c r="F554" t="s">
        <v>306</v>
      </c>
      <c r="G554">
        <v>50</v>
      </c>
      <c r="H554" t="s">
        <v>4</v>
      </c>
      <c r="I554" t="s">
        <v>222</v>
      </c>
      <c r="J554">
        <v>1000000</v>
      </c>
      <c r="K554">
        <v>3</v>
      </c>
      <c r="L554">
        <f>VLOOKUP(Merge1[[#This Row],[제품코드]],공정중_우선순위[[제품코드]:[우선순위]],4,0)</f>
        <v>52</v>
      </c>
      <c r="M554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55" spans="1:13" ht="54" x14ac:dyDescent="0.25">
      <c r="A555" t="s">
        <v>200</v>
      </c>
      <c r="B555" t="s">
        <v>300</v>
      </c>
      <c r="C555" t="s">
        <v>307</v>
      </c>
      <c r="D555" t="s">
        <v>32</v>
      </c>
      <c r="E555" t="s">
        <v>33</v>
      </c>
      <c r="F555" t="s">
        <v>308</v>
      </c>
      <c r="G555">
        <v>60</v>
      </c>
      <c r="H555" t="s">
        <v>5</v>
      </c>
      <c r="I555" t="s">
        <v>280</v>
      </c>
      <c r="J555">
        <v>1000000</v>
      </c>
      <c r="K555">
        <v>19</v>
      </c>
      <c r="L555">
        <f>VLOOKUP(Merge1[[#This Row],[제품코드]],공정중_우선순위[[제품코드]:[우선순위]],4,0)</f>
        <v>52</v>
      </c>
      <c r="M555" s="10" t="str">
        <f>_xlfn.TEXTJOIN(CHAR(10), TRUE, ,Merge1[[#This Row],[제품명]],Merge1[[#This Row],[오더번호]],Merge1[[#This Row],[제조번호]],Merge1[[#This Row],[지시수량]])</f>
        <v>크레트롤정10/5MG 반제품
1015475
A002920
1000000</v>
      </c>
    </row>
    <row r="556" spans="1:13" ht="54" x14ac:dyDescent="0.25">
      <c r="A556" t="s">
        <v>200</v>
      </c>
      <c r="B556" t="s">
        <v>300</v>
      </c>
      <c r="C556" t="s">
        <v>307</v>
      </c>
      <c r="D556" t="s">
        <v>32</v>
      </c>
      <c r="E556" t="s">
        <v>33</v>
      </c>
      <c r="F556" t="s">
        <v>308</v>
      </c>
      <c r="G556">
        <v>60</v>
      </c>
      <c r="H556" t="s">
        <v>5</v>
      </c>
      <c r="I556" t="s">
        <v>280</v>
      </c>
      <c r="J556">
        <v>1000000</v>
      </c>
      <c r="K556">
        <v>19</v>
      </c>
      <c r="L556">
        <f>VLOOKUP(Merge1[[#This Row],[제품코드]],공정중_우선순위[[제품코드]:[우선순위]],4,0)</f>
        <v>52</v>
      </c>
      <c r="M556" s="10" t="str">
        <f>_xlfn.TEXTJOIN(CHAR(10), TRUE, ,Merge1[[#This Row],[제품명]],Merge1[[#This Row],[오더번호]],Merge1[[#This Row],[제조번호]],Merge1[[#This Row],[지시수량]])</f>
        <v>크레트롤정10/5MG 반제품
1015475
A002920
1000000</v>
      </c>
    </row>
    <row r="557" spans="1:13" ht="54" x14ac:dyDescent="0.25">
      <c r="A557" t="s">
        <v>200</v>
      </c>
      <c r="B557" t="s">
        <v>300</v>
      </c>
      <c r="C557" t="s">
        <v>309</v>
      </c>
      <c r="D557" t="s">
        <v>32</v>
      </c>
      <c r="E557" t="s">
        <v>33</v>
      </c>
      <c r="F557" t="s">
        <v>310</v>
      </c>
      <c r="G557">
        <v>60</v>
      </c>
      <c r="H557" t="s">
        <v>5</v>
      </c>
      <c r="I557" t="s">
        <v>280</v>
      </c>
      <c r="J557">
        <v>1000000</v>
      </c>
      <c r="K557">
        <v>19</v>
      </c>
      <c r="L557">
        <f>VLOOKUP(Merge1[[#This Row],[제품코드]],공정중_우선순위[[제품코드]:[우선순위]],4,0)</f>
        <v>52</v>
      </c>
      <c r="M557" s="10" t="str">
        <f>_xlfn.TEXTJOIN(CHAR(10), TRUE, ,Merge1[[#This Row],[제품명]],Merge1[[#This Row],[오더번호]],Merge1[[#This Row],[제조번호]],Merge1[[#This Row],[지시수량]])</f>
        <v>크레트롤정10/5MG 반제품
1015476
A002921
1000000</v>
      </c>
    </row>
    <row r="558" spans="1:13" ht="54" x14ac:dyDescent="0.25">
      <c r="A558" t="s">
        <v>200</v>
      </c>
      <c r="B558" t="s">
        <v>300</v>
      </c>
      <c r="C558" t="s">
        <v>309</v>
      </c>
      <c r="D558" t="s">
        <v>32</v>
      </c>
      <c r="E558" t="s">
        <v>33</v>
      </c>
      <c r="F558" t="s">
        <v>310</v>
      </c>
      <c r="G558">
        <v>60</v>
      </c>
      <c r="H558" t="s">
        <v>5</v>
      </c>
      <c r="I558" t="s">
        <v>280</v>
      </c>
      <c r="J558">
        <v>1000000</v>
      </c>
      <c r="K558">
        <v>19</v>
      </c>
      <c r="L558">
        <f>VLOOKUP(Merge1[[#This Row],[제품코드]],공정중_우선순위[[제품코드]:[우선순위]],4,0)</f>
        <v>52</v>
      </c>
      <c r="M558" s="10" t="str">
        <f>_xlfn.TEXTJOIN(CHAR(10), TRUE, ,Merge1[[#This Row],[제품명]],Merge1[[#This Row],[오더번호]],Merge1[[#This Row],[제조번호]],Merge1[[#This Row],[지시수량]])</f>
        <v>크레트롤정10/5MG 반제품
1015476
A002921
1000000</v>
      </c>
    </row>
    <row r="559" spans="1:13" ht="54" x14ac:dyDescent="0.25">
      <c r="A559" t="s">
        <v>200</v>
      </c>
      <c r="B559" t="s">
        <v>300</v>
      </c>
      <c r="C559" t="s">
        <v>301</v>
      </c>
      <c r="D559" t="s">
        <v>32</v>
      </c>
      <c r="E559" t="s">
        <v>33</v>
      </c>
      <c r="F559" t="s">
        <v>302</v>
      </c>
      <c r="G559">
        <v>60</v>
      </c>
      <c r="H559" t="s">
        <v>5</v>
      </c>
      <c r="I559" t="s">
        <v>280</v>
      </c>
      <c r="J559">
        <v>1000000</v>
      </c>
      <c r="K559">
        <v>19</v>
      </c>
      <c r="L559">
        <f>VLOOKUP(Merge1[[#This Row],[제품코드]],공정중_우선순위[[제품코드]:[우선순위]],4,0)</f>
        <v>52</v>
      </c>
      <c r="M559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60" spans="1:13" ht="54" x14ac:dyDescent="0.25">
      <c r="A560" t="s">
        <v>200</v>
      </c>
      <c r="B560" t="s">
        <v>300</v>
      </c>
      <c r="C560" t="s">
        <v>301</v>
      </c>
      <c r="D560" t="s">
        <v>32</v>
      </c>
      <c r="E560" t="s">
        <v>33</v>
      </c>
      <c r="F560" t="s">
        <v>302</v>
      </c>
      <c r="G560">
        <v>60</v>
      </c>
      <c r="H560" t="s">
        <v>5</v>
      </c>
      <c r="I560" t="s">
        <v>280</v>
      </c>
      <c r="J560">
        <v>1000000</v>
      </c>
      <c r="K560">
        <v>19</v>
      </c>
      <c r="L560">
        <f>VLOOKUP(Merge1[[#This Row],[제품코드]],공정중_우선순위[[제품코드]:[우선순위]],4,0)</f>
        <v>52</v>
      </c>
      <c r="M560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61" spans="1:13" ht="54" x14ac:dyDescent="0.25">
      <c r="A561" t="s">
        <v>200</v>
      </c>
      <c r="B561" t="s">
        <v>300</v>
      </c>
      <c r="C561" t="s">
        <v>303</v>
      </c>
      <c r="D561" t="s">
        <v>32</v>
      </c>
      <c r="E561" t="s">
        <v>33</v>
      </c>
      <c r="F561" t="s">
        <v>304</v>
      </c>
      <c r="G561">
        <v>60</v>
      </c>
      <c r="H561" t="s">
        <v>5</v>
      </c>
      <c r="I561" t="s">
        <v>280</v>
      </c>
      <c r="J561">
        <v>1000000</v>
      </c>
      <c r="K561">
        <v>19</v>
      </c>
      <c r="L561">
        <f>VLOOKUP(Merge1[[#This Row],[제품코드]],공정중_우선순위[[제품코드]:[우선순위]],4,0)</f>
        <v>52</v>
      </c>
      <c r="M561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62" spans="1:13" ht="54" x14ac:dyDescent="0.25">
      <c r="A562" t="s">
        <v>200</v>
      </c>
      <c r="B562" t="s">
        <v>300</v>
      </c>
      <c r="C562" t="s">
        <v>303</v>
      </c>
      <c r="D562" t="s">
        <v>32</v>
      </c>
      <c r="E562" t="s">
        <v>33</v>
      </c>
      <c r="F562" t="s">
        <v>304</v>
      </c>
      <c r="G562">
        <v>60</v>
      </c>
      <c r="H562" t="s">
        <v>5</v>
      </c>
      <c r="I562" t="s">
        <v>280</v>
      </c>
      <c r="J562">
        <v>1000000</v>
      </c>
      <c r="K562">
        <v>19</v>
      </c>
      <c r="L562">
        <f>VLOOKUP(Merge1[[#This Row],[제품코드]],공정중_우선순위[[제품코드]:[우선순위]],4,0)</f>
        <v>52</v>
      </c>
      <c r="M562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63" spans="1:13" ht="54" x14ac:dyDescent="0.25">
      <c r="A563" t="s">
        <v>200</v>
      </c>
      <c r="B563" t="s">
        <v>300</v>
      </c>
      <c r="C563" t="s">
        <v>305</v>
      </c>
      <c r="D563" t="s">
        <v>32</v>
      </c>
      <c r="E563" t="s">
        <v>33</v>
      </c>
      <c r="F563" t="s">
        <v>306</v>
      </c>
      <c r="G563">
        <v>60</v>
      </c>
      <c r="H563" t="s">
        <v>5</v>
      </c>
      <c r="I563" t="s">
        <v>280</v>
      </c>
      <c r="J563">
        <v>1000000</v>
      </c>
      <c r="K563">
        <v>19</v>
      </c>
      <c r="L563">
        <f>VLOOKUP(Merge1[[#This Row],[제품코드]],공정중_우선순위[[제품코드]:[우선순위]],4,0)</f>
        <v>52</v>
      </c>
      <c r="M563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64" spans="1:13" ht="54" x14ac:dyDescent="0.25">
      <c r="A564" t="s">
        <v>200</v>
      </c>
      <c r="B564" t="s">
        <v>300</v>
      </c>
      <c r="C564" t="s">
        <v>305</v>
      </c>
      <c r="D564" t="s">
        <v>32</v>
      </c>
      <c r="E564" t="s">
        <v>33</v>
      </c>
      <c r="F564" t="s">
        <v>306</v>
      </c>
      <c r="G564">
        <v>60</v>
      </c>
      <c r="H564" t="s">
        <v>5</v>
      </c>
      <c r="I564" t="s">
        <v>280</v>
      </c>
      <c r="J564">
        <v>1000000</v>
      </c>
      <c r="K564">
        <v>19</v>
      </c>
      <c r="L564">
        <f>VLOOKUP(Merge1[[#This Row],[제품코드]],공정중_우선순위[[제품코드]:[우선순위]],4,0)</f>
        <v>52</v>
      </c>
      <c r="M564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65" spans="1:13" ht="54" x14ac:dyDescent="0.25">
      <c r="A565" t="s">
        <v>200</v>
      </c>
      <c r="B565" t="s">
        <v>300</v>
      </c>
      <c r="C565" t="s">
        <v>307</v>
      </c>
      <c r="D565" t="s">
        <v>32</v>
      </c>
      <c r="E565" t="s">
        <v>33</v>
      </c>
      <c r="F565" t="s">
        <v>308</v>
      </c>
      <c r="G565">
        <v>80</v>
      </c>
      <c r="H565" t="s">
        <v>9</v>
      </c>
      <c r="I565" t="s">
        <v>232</v>
      </c>
      <c r="J565">
        <v>1000000</v>
      </c>
      <c r="K565">
        <v>13</v>
      </c>
      <c r="L565">
        <f>VLOOKUP(Merge1[[#This Row],[제품코드]],공정중_우선순위[[제품코드]:[우선순위]],4,0)</f>
        <v>52</v>
      </c>
      <c r="M565" s="10" t="str">
        <f>_xlfn.TEXTJOIN(CHAR(10), TRUE, ,Merge1[[#This Row],[제품명]],Merge1[[#This Row],[오더번호]],Merge1[[#This Row],[제조번호]],Merge1[[#This Row],[지시수량]])</f>
        <v>크레트롤정10/5MG 반제품
1015475
A002920
1000000</v>
      </c>
    </row>
    <row r="566" spans="1:13" ht="54" x14ac:dyDescent="0.25">
      <c r="A566" t="s">
        <v>200</v>
      </c>
      <c r="B566" t="s">
        <v>300</v>
      </c>
      <c r="C566" t="s">
        <v>307</v>
      </c>
      <c r="D566" t="s">
        <v>32</v>
      </c>
      <c r="E566" t="s">
        <v>33</v>
      </c>
      <c r="F566" t="s">
        <v>308</v>
      </c>
      <c r="G566">
        <v>80</v>
      </c>
      <c r="H566" t="s">
        <v>9</v>
      </c>
      <c r="I566" t="s">
        <v>232</v>
      </c>
      <c r="J566">
        <v>1000000</v>
      </c>
      <c r="K566">
        <v>13</v>
      </c>
      <c r="L566">
        <f>VLOOKUP(Merge1[[#This Row],[제품코드]],공정중_우선순위[[제품코드]:[우선순위]],4,0)</f>
        <v>52</v>
      </c>
      <c r="M566" s="10" t="str">
        <f>_xlfn.TEXTJOIN(CHAR(10), TRUE, ,Merge1[[#This Row],[제품명]],Merge1[[#This Row],[오더번호]],Merge1[[#This Row],[제조번호]],Merge1[[#This Row],[지시수량]])</f>
        <v>크레트롤정10/5MG 반제품
1015475
A002920
1000000</v>
      </c>
    </row>
    <row r="567" spans="1:13" ht="54" x14ac:dyDescent="0.25">
      <c r="A567" t="s">
        <v>200</v>
      </c>
      <c r="B567" t="s">
        <v>300</v>
      </c>
      <c r="C567" t="s">
        <v>309</v>
      </c>
      <c r="D567" t="s">
        <v>32</v>
      </c>
      <c r="E567" t="s">
        <v>33</v>
      </c>
      <c r="F567" t="s">
        <v>310</v>
      </c>
      <c r="G567">
        <v>80</v>
      </c>
      <c r="H567" t="s">
        <v>9</v>
      </c>
      <c r="I567" t="s">
        <v>232</v>
      </c>
      <c r="J567">
        <v>1000000</v>
      </c>
      <c r="K567">
        <v>13</v>
      </c>
      <c r="L567">
        <f>VLOOKUP(Merge1[[#This Row],[제품코드]],공정중_우선순위[[제품코드]:[우선순위]],4,0)</f>
        <v>52</v>
      </c>
      <c r="M567" s="10" t="str">
        <f>_xlfn.TEXTJOIN(CHAR(10), TRUE, ,Merge1[[#This Row],[제품명]],Merge1[[#This Row],[오더번호]],Merge1[[#This Row],[제조번호]],Merge1[[#This Row],[지시수량]])</f>
        <v>크레트롤정10/5MG 반제품
1015476
A002921
1000000</v>
      </c>
    </row>
    <row r="568" spans="1:13" ht="54" x14ac:dyDescent="0.25">
      <c r="A568" t="s">
        <v>200</v>
      </c>
      <c r="B568" t="s">
        <v>300</v>
      </c>
      <c r="C568" t="s">
        <v>309</v>
      </c>
      <c r="D568" t="s">
        <v>32</v>
      </c>
      <c r="E568" t="s">
        <v>33</v>
      </c>
      <c r="F568" t="s">
        <v>310</v>
      </c>
      <c r="G568">
        <v>80</v>
      </c>
      <c r="H568" t="s">
        <v>9</v>
      </c>
      <c r="I568" t="s">
        <v>232</v>
      </c>
      <c r="J568">
        <v>1000000</v>
      </c>
      <c r="K568">
        <v>13</v>
      </c>
      <c r="L568">
        <f>VLOOKUP(Merge1[[#This Row],[제품코드]],공정중_우선순위[[제품코드]:[우선순위]],4,0)</f>
        <v>52</v>
      </c>
      <c r="M568" s="10" t="str">
        <f>_xlfn.TEXTJOIN(CHAR(10), TRUE, ,Merge1[[#This Row],[제품명]],Merge1[[#This Row],[오더번호]],Merge1[[#This Row],[제조번호]],Merge1[[#This Row],[지시수량]])</f>
        <v>크레트롤정10/5MG 반제품
1015476
A002921
1000000</v>
      </c>
    </row>
    <row r="569" spans="1:13" ht="54" x14ac:dyDescent="0.25">
      <c r="A569" t="s">
        <v>200</v>
      </c>
      <c r="B569" t="s">
        <v>300</v>
      </c>
      <c r="C569" t="s">
        <v>301</v>
      </c>
      <c r="D569" t="s">
        <v>32</v>
      </c>
      <c r="E569" t="s">
        <v>33</v>
      </c>
      <c r="F569" t="s">
        <v>302</v>
      </c>
      <c r="G569">
        <v>80</v>
      </c>
      <c r="H569" t="s">
        <v>9</v>
      </c>
      <c r="I569" t="s">
        <v>232</v>
      </c>
      <c r="J569">
        <v>1000000</v>
      </c>
      <c r="K569">
        <v>13</v>
      </c>
      <c r="L569">
        <f>VLOOKUP(Merge1[[#This Row],[제품코드]],공정중_우선순위[[제품코드]:[우선순위]],4,0)</f>
        <v>52</v>
      </c>
      <c r="M569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70" spans="1:13" ht="54" x14ac:dyDescent="0.25">
      <c r="A570" t="s">
        <v>200</v>
      </c>
      <c r="B570" t="s">
        <v>300</v>
      </c>
      <c r="C570" t="s">
        <v>301</v>
      </c>
      <c r="D570" t="s">
        <v>32</v>
      </c>
      <c r="E570" t="s">
        <v>33</v>
      </c>
      <c r="F570" t="s">
        <v>302</v>
      </c>
      <c r="G570">
        <v>80</v>
      </c>
      <c r="H570" t="s">
        <v>9</v>
      </c>
      <c r="I570" t="s">
        <v>232</v>
      </c>
      <c r="J570">
        <v>1000000</v>
      </c>
      <c r="K570">
        <v>13</v>
      </c>
      <c r="L570">
        <f>VLOOKUP(Merge1[[#This Row],[제품코드]],공정중_우선순위[[제품코드]:[우선순위]],4,0)</f>
        <v>52</v>
      </c>
      <c r="M570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71" spans="1:13" ht="54" x14ac:dyDescent="0.25">
      <c r="A571" t="s">
        <v>200</v>
      </c>
      <c r="B571" t="s">
        <v>300</v>
      </c>
      <c r="C571" t="s">
        <v>303</v>
      </c>
      <c r="D571" t="s">
        <v>32</v>
      </c>
      <c r="E571" t="s">
        <v>33</v>
      </c>
      <c r="F571" t="s">
        <v>304</v>
      </c>
      <c r="G571">
        <v>80</v>
      </c>
      <c r="H571" t="s">
        <v>9</v>
      </c>
      <c r="I571" t="s">
        <v>232</v>
      </c>
      <c r="J571">
        <v>1000000</v>
      </c>
      <c r="K571">
        <v>13</v>
      </c>
      <c r="L571">
        <f>VLOOKUP(Merge1[[#This Row],[제품코드]],공정중_우선순위[[제품코드]:[우선순위]],4,0)</f>
        <v>52</v>
      </c>
      <c r="M571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72" spans="1:13" ht="54" x14ac:dyDescent="0.25">
      <c r="A572" t="s">
        <v>200</v>
      </c>
      <c r="B572" t="s">
        <v>300</v>
      </c>
      <c r="C572" t="s">
        <v>303</v>
      </c>
      <c r="D572" t="s">
        <v>32</v>
      </c>
      <c r="E572" t="s">
        <v>33</v>
      </c>
      <c r="F572" t="s">
        <v>304</v>
      </c>
      <c r="G572">
        <v>80</v>
      </c>
      <c r="H572" t="s">
        <v>9</v>
      </c>
      <c r="I572" t="s">
        <v>232</v>
      </c>
      <c r="J572">
        <v>1000000</v>
      </c>
      <c r="K572">
        <v>13</v>
      </c>
      <c r="L572">
        <f>VLOOKUP(Merge1[[#This Row],[제품코드]],공정중_우선순위[[제품코드]:[우선순위]],4,0)</f>
        <v>52</v>
      </c>
      <c r="M572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73" spans="1:13" ht="54" x14ac:dyDescent="0.25">
      <c r="A573" t="s">
        <v>200</v>
      </c>
      <c r="B573" t="s">
        <v>300</v>
      </c>
      <c r="C573" t="s">
        <v>305</v>
      </c>
      <c r="D573" t="s">
        <v>32</v>
      </c>
      <c r="E573" t="s">
        <v>33</v>
      </c>
      <c r="F573" t="s">
        <v>306</v>
      </c>
      <c r="G573">
        <v>80</v>
      </c>
      <c r="H573" t="s">
        <v>9</v>
      </c>
      <c r="I573" t="s">
        <v>232</v>
      </c>
      <c r="J573">
        <v>1000000</v>
      </c>
      <c r="K573">
        <v>13</v>
      </c>
      <c r="L573">
        <f>VLOOKUP(Merge1[[#This Row],[제품코드]],공정중_우선순위[[제품코드]:[우선순위]],4,0)</f>
        <v>52</v>
      </c>
      <c r="M573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74" spans="1:13" ht="54" x14ac:dyDescent="0.25">
      <c r="A574" t="s">
        <v>200</v>
      </c>
      <c r="B574" t="s">
        <v>300</v>
      </c>
      <c r="C574" t="s">
        <v>305</v>
      </c>
      <c r="D574" t="s">
        <v>32</v>
      </c>
      <c r="E574" t="s">
        <v>33</v>
      </c>
      <c r="F574" t="s">
        <v>306</v>
      </c>
      <c r="G574">
        <v>80</v>
      </c>
      <c r="H574" t="s">
        <v>9</v>
      </c>
      <c r="I574" t="s">
        <v>232</v>
      </c>
      <c r="J574">
        <v>1000000</v>
      </c>
      <c r="K574">
        <v>13</v>
      </c>
      <c r="L574">
        <f>VLOOKUP(Merge1[[#This Row],[제품코드]],공정중_우선순위[[제품코드]:[우선순위]],4,0)</f>
        <v>52</v>
      </c>
      <c r="M574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75" spans="1:13" ht="54" x14ac:dyDescent="0.25">
      <c r="A575" t="s">
        <v>200</v>
      </c>
      <c r="B575" t="s">
        <v>300</v>
      </c>
      <c r="C575" t="s">
        <v>307</v>
      </c>
      <c r="D575" t="s">
        <v>32</v>
      </c>
      <c r="E575" t="s">
        <v>33</v>
      </c>
      <c r="F575" t="s">
        <v>308</v>
      </c>
      <c r="G575">
        <v>110</v>
      </c>
      <c r="H575" t="s">
        <v>6</v>
      </c>
      <c r="I575" t="s">
        <v>234</v>
      </c>
      <c r="J575">
        <v>1000000</v>
      </c>
      <c r="K575">
        <v>9</v>
      </c>
      <c r="L575">
        <f>VLOOKUP(Merge1[[#This Row],[제품코드]],공정중_우선순위[[제품코드]:[우선순위]],4,0)</f>
        <v>52</v>
      </c>
      <c r="M575" s="10" t="str">
        <f>_xlfn.TEXTJOIN(CHAR(10), TRUE, ,Merge1[[#This Row],[제품명]],Merge1[[#This Row],[오더번호]],Merge1[[#This Row],[제조번호]],Merge1[[#This Row],[지시수량]])</f>
        <v>크레트롤정10/5MG 반제품
1015475
A002920
1000000</v>
      </c>
    </row>
    <row r="576" spans="1:13" ht="54" x14ac:dyDescent="0.25">
      <c r="A576" t="s">
        <v>200</v>
      </c>
      <c r="B576" t="s">
        <v>300</v>
      </c>
      <c r="C576" t="s">
        <v>307</v>
      </c>
      <c r="D576" t="s">
        <v>32</v>
      </c>
      <c r="E576" t="s">
        <v>33</v>
      </c>
      <c r="F576" t="s">
        <v>308</v>
      </c>
      <c r="G576">
        <v>110</v>
      </c>
      <c r="H576" t="s">
        <v>6</v>
      </c>
      <c r="I576" t="s">
        <v>234</v>
      </c>
      <c r="J576">
        <v>1000000</v>
      </c>
      <c r="K576">
        <v>9</v>
      </c>
      <c r="L576">
        <f>VLOOKUP(Merge1[[#This Row],[제품코드]],공정중_우선순위[[제품코드]:[우선순위]],4,0)</f>
        <v>52</v>
      </c>
      <c r="M576" s="10" t="str">
        <f>_xlfn.TEXTJOIN(CHAR(10), TRUE, ,Merge1[[#This Row],[제품명]],Merge1[[#This Row],[오더번호]],Merge1[[#This Row],[제조번호]],Merge1[[#This Row],[지시수량]])</f>
        <v>크레트롤정10/5MG 반제품
1015475
A002920
1000000</v>
      </c>
    </row>
    <row r="577" spans="1:13" ht="54" x14ac:dyDescent="0.25">
      <c r="A577" t="s">
        <v>200</v>
      </c>
      <c r="B577" t="s">
        <v>300</v>
      </c>
      <c r="C577" t="s">
        <v>309</v>
      </c>
      <c r="D577" t="s">
        <v>32</v>
      </c>
      <c r="E577" t="s">
        <v>33</v>
      </c>
      <c r="F577" t="s">
        <v>310</v>
      </c>
      <c r="G577">
        <v>110</v>
      </c>
      <c r="H577" t="s">
        <v>6</v>
      </c>
      <c r="I577" t="s">
        <v>234</v>
      </c>
      <c r="J577">
        <v>1000000</v>
      </c>
      <c r="K577">
        <v>9</v>
      </c>
      <c r="L577">
        <f>VLOOKUP(Merge1[[#This Row],[제품코드]],공정중_우선순위[[제품코드]:[우선순위]],4,0)</f>
        <v>52</v>
      </c>
      <c r="M577" s="10" t="str">
        <f>_xlfn.TEXTJOIN(CHAR(10), TRUE, ,Merge1[[#This Row],[제품명]],Merge1[[#This Row],[오더번호]],Merge1[[#This Row],[제조번호]],Merge1[[#This Row],[지시수량]])</f>
        <v>크레트롤정10/5MG 반제품
1015476
A002921
1000000</v>
      </c>
    </row>
    <row r="578" spans="1:13" ht="54" x14ac:dyDescent="0.25">
      <c r="A578" t="s">
        <v>200</v>
      </c>
      <c r="B578" t="s">
        <v>300</v>
      </c>
      <c r="C578" t="s">
        <v>309</v>
      </c>
      <c r="D578" t="s">
        <v>32</v>
      </c>
      <c r="E578" t="s">
        <v>33</v>
      </c>
      <c r="F578" t="s">
        <v>310</v>
      </c>
      <c r="G578">
        <v>110</v>
      </c>
      <c r="H578" t="s">
        <v>6</v>
      </c>
      <c r="I578" t="s">
        <v>234</v>
      </c>
      <c r="J578">
        <v>1000000</v>
      </c>
      <c r="K578">
        <v>9</v>
      </c>
      <c r="L578">
        <f>VLOOKUP(Merge1[[#This Row],[제품코드]],공정중_우선순위[[제품코드]:[우선순위]],4,0)</f>
        <v>52</v>
      </c>
      <c r="M578" s="10" t="str">
        <f>_xlfn.TEXTJOIN(CHAR(10), TRUE, ,Merge1[[#This Row],[제품명]],Merge1[[#This Row],[오더번호]],Merge1[[#This Row],[제조번호]],Merge1[[#This Row],[지시수량]])</f>
        <v>크레트롤정10/5MG 반제품
1015476
A002921
1000000</v>
      </c>
    </row>
    <row r="579" spans="1:13" ht="54" x14ac:dyDescent="0.25">
      <c r="A579" t="s">
        <v>200</v>
      </c>
      <c r="B579" t="s">
        <v>300</v>
      </c>
      <c r="C579" t="s">
        <v>301</v>
      </c>
      <c r="D579" t="s">
        <v>32</v>
      </c>
      <c r="E579" t="s">
        <v>33</v>
      </c>
      <c r="F579" t="s">
        <v>302</v>
      </c>
      <c r="G579">
        <v>110</v>
      </c>
      <c r="H579" t="s">
        <v>6</v>
      </c>
      <c r="I579" t="s">
        <v>234</v>
      </c>
      <c r="J579">
        <v>1000000</v>
      </c>
      <c r="K579">
        <v>9</v>
      </c>
      <c r="L579">
        <f>VLOOKUP(Merge1[[#This Row],[제품코드]],공정중_우선순위[[제품코드]:[우선순위]],4,0)</f>
        <v>52</v>
      </c>
      <c r="M579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80" spans="1:13" ht="54" x14ac:dyDescent="0.25">
      <c r="A580" t="s">
        <v>200</v>
      </c>
      <c r="B580" t="s">
        <v>300</v>
      </c>
      <c r="C580" t="s">
        <v>301</v>
      </c>
      <c r="D580" t="s">
        <v>32</v>
      </c>
      <c r="E580" t="s">
        <v>33</v>
      </c>
      <c r="F580" t="s">
        <v>302</v>
      </c>
      <c r="G580">
        <v>110</v>
      </c>
      <c r="H580" t="s">
        <v>6</v>
      </c>
      <c r="I580" t="s">
        <v>234</v>
      </c>
      <c r="J580">
        <v>1000000</v>
      </c>
      <c r="K580">
        <v>9</v>
      </c>
      <c r="L580">
        <f>VLOOKUP(Merge1[[#This Row],[제품코드]],공정중_우선순위[[제품코드]:[우선순위]],4,0)</f>
        <v>52</v>
      </c>
      <c r="M580" s="10" t="str">
        <f>_xlfn.TEXTJOIN(CHAR(10), TRUE, ,Merge1[[#This Row],[제품명]],Merge1[[#This Row],[오더번호]],Merge1[[#This Row],[제조번호]],Merge1[[#This Row],[지시수량]])</f>
        <v>크레트롤정10/5MG 반제품
1015674
A002973
1000000</v>
      </c>
    </row>
    <row r="581" spans="1:13" ht="54" x14ac:dyDescent="0.25">
      <c r="A581" t="s">
        <v>200</v>
      </c>
      <c r="B581" t="s">
        <v>300</v>
      </c>
      <c r="C581" t="s">
        <v>303</v>
      </c>
      <c r="D581" t="s">
        <v>32</v>
      </c>
      <c r="E581" t="s">
        <v>33</v>
      </c>
      <c r="F581" t="s">
        <v>304</v>
      </c>
      <c r="G581">
        <v>110</v>
      </c>
      <c r="H581" t="s">
        <v>6</v>
      </c>
      <c r="I581" t="s">
        <v>234</v>
      </c>
      <c r="J581">
        <v>1000000</v>
      </c>
      <c r="K581">
        <v>9</v>
      </c>
      <c r="L581">
        <f>VLOOKUP(Merge1[[#This Row],[제품코드]],공정중_우선순위[[제품코드]:[우선순위]],4,0)</f>
        <v>52</v>
      </c>
      <c r="M581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82" spans="1:13" ht="54" x14ac:dyDescent="0.25">
      <c r="A582" t="s">
        <v>200</v>
      </c>
      <c r="B582" t="s">
        <v>300</v>
      </c>
      <c r="C582" t="s">
        <v>303</v>
      </c>
      <c r="D582" t="s">
        <v>32</v>
      </c>
      <c r="E582" t="s">
        <v>33</v>
      </c>
      <c r="F582" t="s">
        <v>304</v>
      </c>
      <c r="G582">
        <v>110</v>
      </c>
      <c r="H582" t="s">
        <v>6</v>
      </c>
      <c r="I582" t="s">
        <v>234</v>
      </c>
      <c r="J582">
        <v>1000000</v>
      </c>
      <c r="K582">
        <v>9</v>
      </c>
      <c r="L582">
        <f>VLOOKUP(Merge1[[#This Row],[제품코드]],공정중_우선순위[[제품코드]:[우선순위]],4,0)</f>
        <v>52</v>
      </c>
      <c r="M582" s="10" t="str">
        <f>_xlfn.TEXTJOIN(CHAR(10), TRUE, ,Merge1[[#This Row],[제품명]],Merge1[[#This Row],[오더번호]],Merge1[[#This Row],[제조번호]],Merge1[[#This Row],[지시수량]])</f>
        <v>크레트롤정10/5MG 반제품
1015690
A002976
1000000</v>
      </c>
    </row>
    <row r="583" spans="1:13" ht="54" x14ac:dyDescent="0.25">
      <c r="A583" t="s">
        <v>200</v>
      </c>
      <c r="B583" t="s">
        <v>300</v>
      </c>
      <c r="C583" t="s">
        <v>305</v>
      </c>
      <c r="D583" t="s">
        <v>32</v>
      </c>
      <c r="E583" t="s">
        <v>33</v>
      </c>
      <c r="F583" t="s">
        <v>306</v>
      </c>
      <c r="G583">
        <v>110</v>
      </c>
      <c r="H583" t="s">
        <v>6</v>
      </c>
      <c r="I583" t="s">
        <v>234</v>
      </c>
      <c r="J583">
        <v>1000000</v>
      </c>
      <c r="K583">
        <v>9</v>
      </c>
      <c r="L583">
        <f>VLOOKUP(Merge1[[#This Row],[제품코드]],공정중_우선순위[[제품코드]:[우선순위]],4,0)</f>
        <v>52</v>
      </c>
      <c r="M583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84" spans="1:13" ht="54" x14ac:dyDescent="0.25">
      <c r="A584" t="s">
        <v>200</v>
      </c>
      <c r="B584" t="s">
        <v>300</v>
      </c>
      <c r="C584" t="s">
        <v>305</v>
      </c>
      <c r="D584" t="s">
        <v>32</v>
      </c>
      <c r="E584" t="s">
        <v>33</v>
      </c>
      <c r="F584" t="s">
        <v>306</v>
      </c>
      <c r="G584">
        <v>110</v>
      </c>
      <c r="H584" t="s">
        <v>6</v>
      </c>
      <c r="I584" t="s">
        <v>234</v>
      </c>
      <c r="J584">
        <v>1000000</v>
      </c>
      <c r="K584">
        <v>9</v>
      </c>
      <c r="L584">
        <f>VLOOKUP(Merge1[[#This Row],[제품코드]],공정중_우선순위[[제품코드]:[우선순위]],4,0)</f>
        <v>52</v>
      </c>
      <c r="M584" s="10" t="str">
        <f>_xlfn.TEXTJOIN(CHAR(10), TRUE, ,Merge1[[#This Row],[제품명]],Merge1[[#This Row],[오더번호]],Merge1[[#This Row],[제조번호]],Merge1[[#This Row],[지시수량]])</f>
        <v>크레트롤정10/5MG 반제품
1015691
A002977
1000000</v>
      </c>
    </row>
    <row r="585" spans="1:13" ht="54" x14ac:dyDescent="0.25">
      <c r="A585" t="s">
        <v>200</v>
      </c>
      <c r="B585" t="s">
        <v>300</v>
      </c>
      <c r="C585" t="s">
        <v>380</v>
      </c>
      <c r="D585" t="s">
        <v>56</v>
      </c>
      <c r="E585" t="s">
        <v>57</v>
      </c>
      <c r="F585" t="s">
        <v>383</v>
      </c>
      <c r="G585">
        <v>20</v>
      </c>
      <c r="H585" t="s">
        <v>3</v>
      </c>
      <c r="I585" t="s">
        <v>269</v>
      </c>
      <c r="J585">
        <v>1000000</v>
      </c>
      <c r="K585">
        <v>18</v>
      </c>
      <c r="L585">
        <f>VLOOKUP(Merge1[[#This Row],[제품코드]],공정중_우선순위[[제품코드]:[우선순위]],4,0)</f>
        <v>53</v>
      </c>
      <c r="M585" s="10" t="str">
        <f>_xlfn.TEXTJOIN(CHAR(10), TRUE, ,Merge1[[#This Row],[제품명]],Merge1[[#This Row],[오더번호]],Merge1[[#This Row],[제조번호]],Merge1[[#This Row],[지시수량]])</f>
        <v>이지산트정10/5MG 반제품 (보령)
1015693
E00300
1000000</v>
      </c>
    </row>
    <row r="586" spans="1:13" ht="54" x14ac:dyDescent="0.25">
      <c r="A586" t="s">
        <v>200</v>
      </c>
      <c r="B586" t="s">
        <v>300</v>
      </c>
      <c r="C586" t="s">
        <v>380</v>
      </c>
      <c r="D586" t="s">
        <v>56</v>
      </c>
      <c r="E586" t="s">
        <v>57</v>
      </c>
      <c r="F586" t="s">
        <v>383</v>
      </c>
      <c r="G586">
        <v>50</v>
      </c>
      <c r="H586" t="s">
        <v>4</v>
      </c>
      <c r="I586" t="s">
        <v>382</v>
      </c>
      <c r="J586">
        <v>1000000</v>
      </c>
      <c r="K586">
        <v>5</v>
      </c>
      <c r="L586">
        <f>VLOOKUP(Merge1[[#This Row],[제품코드]],공정중_우선순위[[제품코드]:[우선순위]],4,0)</f>
        <v>53</v>
      </c>
      <c r="M586" s="10" t="str">
        <f>_xlfn.TEXTJOIN(CHAR(10), TRUE, ,Merge1[[#This Row],[제품명]],Merge1[[#This Row],[오더번호]],Merge1[[#This Row],[제조번호]],Merge1[[#This Row],[지시수량]])</f>
        <v>이지산트정10/5MG 반제품 (보령)
1015693
E00300
1000000</v>
      </c>
    </row>
    <row r="587" spans="1:13" ht="54" x14ac:dyDescent="0.25">
      <c r="A587" t="s">
        <v>200</v>
      </c>
      <c r="B587" t="s">
        <v>300</v>
      </c>
      <c r="C587" t="s">
        <v>380</v>
      </c>
      <c r="D587" t="s">
        <v>56</v>
      </c>
      <c r="E587" t="s">
        <v>57</v>
      </c>
      <c r="F587" t="s">
        <v>383</v>
      </c>
      <c r="G587">
        <v>60</v>
      </c>
      <c r="H587" t="s">
        <v>5</v>
      </c>
      <c r="I587" t="s">
        <v>280</v>
      </c>
      <c r="J587">
        <v>1000000</v>
      </c>
      <c r="K587">
        <v>21</v>
      </c>
      <c r="L587">
        <f>VLOOKUP(Merge1[[#This Row],[제품코드]],공정중_우선순위[[제품코드]:[우선순위]],4,0)</f>
        <v>53</v>
      </c>
      <c r="M587" s="10" t="str">
        <f>_xlfn.TEXTJOIN(CHAR(10), TRUE, ,Merge1[[#This Row],[제품명]],Merge1[[#This Row],[오더번호]],Merge1[[#This Row],[제조번호]],Merge1[[#This Row],[지시수량]])</f>
        <v>이지산트정10/5MG 반제품 (보령)
1015693
E00300
1000000</v>
      </c>
    </row>
    <row r="588" spans="1:13" ht="54" x14ac:dyDescent="0.25">
      <c r="A588" t="s">
        <v>200</v>
      </c>
      <c r="B588" t="s">
        <v>300</v>
      </c>
      <c r="C588" t="s">
        <v>380</v>
      </c>
      <c r="D588" t="s">
        <v>56</v>
      </c>
      <c r="E588" t="s">
        <v>57</v>
      </c>
      <c r="F588" t="s">
        <v>383</v>
      </c>
      <c r="G588">
        <v>80</v>
      </c>
      <c r="H588" t="s">
        <v>9</v>
      </c>
      <c r="I588" t="s">
        <v>327</v>
      </c>
      <c r="J588">
        <v>1000000</v>
      </c>
      <c r="K588">
        <v>8</v>
      </c>
      <c r="L588">
        <f>VLOOKUP(Merge1[[#This Row],[제품코드]],공정중_우선순위[[제품코드]:[우선순위]],4,0)</f>
        <v>53</v>
      </c>
      <c r="M588" s="10" t="str">
        <f>_xlfn.TEXTJOIN(CHAR(10), TRUE, ,Merge1[[#This Row],[제품명]],Merge1[[#This Row],[오더번호]],Merge1[[#This Row],[제조번호]],Merge1[[#This Row],[지시수량]])</f>
        <v>이지산트정10/5MG 반제품 (보령)
1015693
E00300
1000000</v>
      </c>
    </row>
    <row r="589" spans="1:13" ht="54" x14ac:dyDescent="0.25">
      <c r="A589" t="s">
        <v>200</v>
      </c>
      <c r="B589" t="s">
        <v>300</v>
      </c>
      <c r="C589" t="s">
        <v>380</v>
      </c>
      <c r="D589" t="s">
        <v>56</v>
      </c>
      <c r="E589" t="s">
        <v>57</v>
      </c>
      <c r="F589" t="s">
        <v>383</v>
      </c>
      <c r="G589">
        <v>110</v>
      </c>
      <c r="H589" t="s">
        <v>6</v>
      </c>
      <c r="I589" t="s">
        <v>234</v>
      </c>
      <c r="J589">
        <v>1000000</v>
      </c>
      <c r="K589">
        <v>6</v>
      </c>
      <c r="L589">
        <f>VLOOKUP(Merge1[[#This Row],[제품코드]],공정중_우선순위[[제품코드]:[우선순위]],4,0)</f>
        <v>53</v>
      </c>
      <c r="M589" s="10" t="str">
        <f>_xlfn.TEXTJOIN(CHAR(10), TRUE, ,Merge1[[#This Row],[제품명]],Merge1[[#This Row],[오더번호]],Merge1[[#This Row],[제조번호]],Merge1[[#This Row],[지시수량]])</f>
        <v>이지산트정10/5MG 반제품 (보령)
1015693
E00300
1000000</v>
      </c>
    </row>
    <row r="590" spans="1:13" ht="54" x14ac:dyDescent="0.25">
      <c r="A590" t="s">
        <v>200</v>
      </c>
      <c r="B590" t="s">
        <v>339</v>
      </c>
      <c r="C590" t="s">
        <v>340</v>
      </c>
      <c r="D590" t="s">
        <v>40</v>
      </c>
      <c r="E590" t="s">
        <v>41</v>
      </c>
      <c r="F590" t="s">
        <v>341</v>
      </c>
      <c r="G590">
        <v>110</v>
      </c>
      <c r="H590" t="s">
        <v>6</v>
      </c>
      <c r="I590" t="s">
        <v>211</v>
      </c>
      <c r="J590">
        <v>600000</v>
      </c>
      <c r="K590">
        <v>13</v>
      </c>
      <c r="L590">
        <f>VLOOKUP(Merge1[[#This Row],[제품코드]],공정중_우선순위[[제품코드]:[우선순위]],4,0)</f>
        <v>54</v>
      </c>
      <c r="M590" s="10" t="str">
        <f>_xlfn.TEXTJOIN(CHAR(10), TRUE, ,Merge1[[#This Row],[제품명]],Merge1[[#This Row],[오더번호]],Merge1[[#This Row],[제조번호]],Merge1[[#This Row],[지시수량]])</f>
        <v>트로돈캡슐50MG 반제품
1015321
A002876
600000</v>
      </c>
    </row>
    <row r="591" spans="1:13" ht="54" x14ac:dyDescent="0.25">
      <c r="A591" t="s">
        <v>200</v>
      </c>
      <c r="B591" t="s">
        <v>339</v>
      </c>
      <c r="C591" t="s">
        <v>342</v>
      </c>
      <c r="D591" t="s">
        <v>40</v>
      </c>
      <c r="E591" t="s">
        <v>41</v>
      </c>
      <c r="F591" t="s">
        <v>343</v>
      </c>
      <c r="G591">
        <v>110</v>
      </c>
      <c r="H591" t="s">
        <v>6</v>
      </c>
      <c r="I591" t="s">
        <v>211</v>
      </c>
      <c r="J591">
        <v>600000</v>
      </c>
      <c r="K591">
        <v>13</v>
      </c>
      <c r="L591">
        <f>VLOOKUP(Merge1[[#This Row],[제품코드]],공정중_우선순위[[제품코드]:[우선순위]],4,0)</f>
        <v>54</v>
      </c>
      <c r="M591" s="10" t="str">
        <f>_xlfn.TEXTJOIN(CHAR(10), TRUE, ,Merge1[[#This Row],[제품명]],Merge1[[#This Row],[오더번호]],Merge1[[#This Row],[제조번호]],Merge1[[#This Row],[지시수량]])</f>
        <v>트로돈캡슐50MG 반제품
1015322
A002877
600000</v>
      </c>
    </row>
    <row r="592" spans="1:13" ht="54" x14ac:dyDescent="0.25">
      <c r="A592" t="s">
        <v>200</v>
      </c>
      <c r="B592" t="s">
        <v>339</v>
      </c>
      <c r="C592" t="s">
        <v>340</v>
      </c>
      <c r="D592" t="s">
        <v>40</v>
      </c>
      <c r="E592" t="s">
        <v>41</v>
      </c>
      <c r="F592" t="s">
        <v>341</v>
      </c>
      <c r="G592">
        <v>120</v>
      </c>
      <c r="H592" t="s">
        <v>11</v>
      </c>
      <c r="I592" t="s">
        <v>241</v>
      </c>
      <c r="J592">
        <v>600000</v>
      </c>
      <c r="K592">
        <v>25</v>
      </c>
      <c r="L592">
        <f>VLOOKUP(Merge1[[#This Row],[제품코드]],공정중_우선순위[[제품코드]:[우선순위]],4,0)</f>
        <v>54</v>
      </c>
      <c r="M592" s="10" t="str">
        <f>_xlfn.TEXTJOIN(CHAR(10), TRUE, ,Merge1[[#This Row],[제품명]],Merge1[[#This Row],[오더번호]],Merge1[[#This Row],[제조번호]],Merge1[[#This Row],[지시수량]])</f>
        <v>트로돈캡슐50MG 반제품
1015321
A002876
600000</v>
      </c>
    </row>
    <row r="593" spans="1:13" ht="54" x14ac:dyDescent="0.25">
      <c r="A593" t="s">
        <v>200</v>
      </c>
      <c r="B593" t="s">
        <v>339</v>
      </c>
      <c r="C593" t="s">
        <v>342</v>
      </c>
      <c r="D593" t="s">
        <v>40</v>
      </c>
      <c r="E593" t="s">
        <v>41</v>
      </c>
      <c r="F593" t="s">
        <v>343</v>
      </c>
      <c r="G593">
        <v>120</v>
      </c>
      <c r="H593" t="s">
        <v>11</v>
      </c>
      <c r="I593" t="s">
        <v>241</v>
      </c>
      <c r="J593">
        <v>600000</v>
      </c>
      <c r="K593">
        <v>25</v>
      </c>
      <c r="L593">
        <f>VLOOKUP(Merge1[[#This Row],[제품코드]],공정중_우선순위[[제품코드]:[우선순위]],4,0)</f>
        <v>54</v>
      </c>
      <c r="M593" s="10" t="str">
        <f>_xlfn.TEXTJOIN(CHAR(10), TRUE, ,Merge1[[#This Row],[제품명]],Merge1[[#This Row],[오더번호]],Merge1[[#This Row],[제조번호]],Merge1[[#This Row],[지시수량]])</f>
        <v>트로돈캡슐50MG 반제품
1015322
A002877
600000</v>
      </c>
    </row>
    <row r="594" spans="1:13" ht="67.5" x14ac:dyDescent="0.25">
      <c r="A594" t="s">
        <v>438</v>
      </c>
      <c r="B594" t="s">
        <v>468</v>
      </c>
      <c r="C594" t="s">
        <v>480</v>
      </c>
      <c r="D594" t="s">
        <v>98</v>
      </c>
      <c r="E594" t="s">
        <v>99</v>
      </c>
      <c r="F594" t="s">
        <v>481</v>
      </c>
      <c r="G594">
        <v>60</v>
      </c>
      <c r="H594" t="s">
        <v>5</v>
      </c>
      <c r="I594" t="s">
        <v>473</v>
      </c>
      <c r="J594">
        <v>200000</v>
      </c>
      <c r="K594">
        <v>15</v>
      </c>
      <c r="L594">
        <f>VLOOKUP(Merge1[[#This Row],[제품코드]],공정중_우선순위[[제품코드]:[우선순위]],4,0)</f>
        <v>1</v>
      </c>
      <c r="M594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595" spans="1:13" ht="67.5" x14ac:dyDescent="0.25">
      <c r="A595" t="s">
        <v>438</v>
      </c>
      <c r="B595" t="s">
        <v>468</v>
      </c>
      <c r="C595" t="s">
        <v>480</v>
      </c>
      <c r="D595" t="s">
        <v>98</v>
      </c>
      <c r="E595" t="s">
        <v>99</v>
      </c>
      <c r="F595" t="s">
        <v>481</v>
      </c>
      <c r="G595">
        <v>60</v>
      </c>
      <c r="H595" t="s">
        <v>5</v>
      </c>
      <c r="I595" t="s">
        <v>473</v>
      </c>
      <c r="J595">
        <v>200000</v>
      </c>
      <c r="K595">
        <v>15</v>
      </c>
      <c r="L595">
        <f>VLOOKUP(Merge1[[#This Row],[제품코드]],공정중_우선순위[[제품코드]:[우선순위]],4,0)</f>
        <v>1</v>
      </c>
      <c r="M595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596" spans="1:13" ht="67.5" x14ac:dyDescent="0.25">
      <c r="A596" t="s">
        <v>438</v>
      </c>
      <c r="B596" t="s">
        <v>468</v>
      </c>
      <c r="C596" t="s">
        <v>482</v>
      </c>
      <c r="D596" t="s">
        <v>98</v>
      </c>
      <c r="E596" t="s">
        <v>99</v>
      </c>
      <c r="F596" t="s">
        <v>483</v>
      </c>
      <c r="G596">
        <v>80</v>
      </c>
      <c r="H596" t="s">
        <v>9</v>
      </c>
      <c r="I596" t="s">
        <v>476</v>
      </c>
      <c r="J596">
        <v>200000</v>
      </c>
      <c r="K596">
        <v>10</v>
      </c>
      <c r="L596">
        <f>VLOOKUP(Merge1[[#This Row],[제품코드]],공정중_우선순위[[제품코드]:[우선순위]],4,0)</f>
        <v>1</v>
      </c>
      <c r="M596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597" spans="1:13" ht="67.5" x14ac:dyDescent="0.25">
      <c r="A597" t="s">
        <v>438</v>
      </c>
      <c r="B597" t="s">
        <v>468</v>
      </c>
      <c r="C597" t="s">
        <v>480</v>
      </c>
      <c r="D597" t="s">
        <v>98</v>
      </c>
      <c r="E597" t="s">
        <v>99</v>
      </c>
      <c r="F597" t="s">
        <v>481</v>
      </c>
      <c r="G597">
        <v>80</v>
      </c>
      <c r="H597" t="s">
        <v>9</v>
      </c>
      <c r="I597" t="s">
        <v>476</v>
      </c>
      <c r="J597">
        <v>200000</v>
      </c>
      <c r="K597">
        <v>10</v>
      </c>
      <c r="L597">
        <f>VLOOKUP(Merge1[[#This Row],[제품코드]],공정중_우선순위[[제품코드]:[우선순위]],4,0)</f>
        <v>1</v>
      </c>
      <c r="M597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598" spans="1:13" ht="67.5" x14ac:dyDescent="0.25">
      <c r="A598" t="s">
        <v>438</v>
      </c>
      <c r="B598" t="s">
        <v>468</v>
      </c>
      <c r="C598" t="s">
        <v>482</v>
      </c>
      <c r="D598" t="s">
        <v>98</v>
      </c>
      <c r="E598" t="s">
        <v>99</v>
      </c>
      <c r="F598" t="s">
        <v>483</v>
      </c>
      <c r="G598">
        <v>80</v>
      </c>
      <c r="H598" t="s">
        <v>9</v>
      </c>
      <c r="I598" t="s">
        <v>476</v>
      </c>
      <c r="J598">
        <v>200000</v>
      </c>
      <c r="K598">
        <v>10</v>
      </c>
      <c r="L598">
        <f>VLOOKUP(Merge1[[#This Row],[제품코드]],공정중_우선순위[[제품코드]:[우선순위]],4,0)</f>
        <v>1</v>
      </c>
      <c r="M598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599" spans="1:13" ht="67.5" x14ac:dyDescent="0.25">
      <c r="A599" t="s">
        <v>438</v>
      </c>
      <c r="B599" t="s">
        <v>468</v>
      </c>
      <c r="C599" t="s">
        <v>480</v>
      </c>
      <c r="D599" t="s">
        <v>98</v>
      </c>
      <c r="E599" t="s">
        <v>99</v>
      </c>
      <c r="F599" t="s">
        <v>481</v>
      </c>
      <c r="G599">
        <v>80</v>
      </c>
      <c r="H599" t="s">
        <v>9</v>
      </c>
      <c r="I599" t="s">
        <v>476</v>
      </c>
      <c r="J599">
        <v>200000</v>
      </c>
      <c r="K599">
        <v>10</v>
      </c>
      <c r="L599">
        <f>VLOOKUP(Merge1[[#This Row],[제품코드]],공정중_우선순위[[제품코드]:[우선순위]],4,0)</f>
        <v>1</v>
      </c>
      <c r="M599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00" spans="1:13" ht="67.5" x14ac:dyDescent="0.25">
      <c r="A600" t="s">
        <v>438</v>
      </c>
      <c r="B600" t="s">
        <v>468</v>
      </c>
      <c r="C600" t="s">
        <v>482</v>
      </c>
      <c r="D600" t="s">
        <v>98</v>
      </c>
      <c r="E600" t="s">
        <v>99</v>
      </c>
      <c r="F600" t="s">
        <v>483</v>
      </c>
      <c r="G600">
        <v>110</v>
      </c>
      <c r="H600" t="s">
        <v>6</v>
      </c>
      <c r="I600" t="s">
        <v>455</v>
      </c>
      <c r="J600">
        <v>200000</v>
      </c>
      <c r="K600">
        <v>12</v>
      </c>
      <c r="L600">
        <f>VLOOKUP(Merge1[[#This Row],[제품코드]],공정중_우선순위[[제품코드]:[우선순위]],4,0)</f>
        <v>1</v>
      </c>
      <c r="M600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601" spans="1:13" ht="67.5" x14ac:dyDescent="0.25">
      <c r="A601" t="s">
        <v>438</v>
      </c>
      <c r="B601" t="s">
        <v>468</v>
      </c>
      <c r="C601" t="s">
        <v>480</v>
      </c>
      <c r="D601" t="s">
        <v>98</v>
      </c>
      <c r="E601" t="s">
        <v>99</v>
      </c>
      <c r="F601" t="s">
        <v>481</v>
      </c>
      <c r="G601">
        <v>110</v>
      </c>
      <c r="H601" t="s">
        <v>6</v>
      </c>
      <c r="I601" t="s">
        <v>455</v>
      </c>
      <c r="J601">
        <v>200000</v>
      </c>
      <c r="K601">
        <v>12</v>
      </c>
      <c r="L601">
        <f>VLOOKUP(Merge1[[#This Row],[제품코드]],공정중_우선순위[[제품코드]:[우선순위]],4,0)</f>
        <v>1</v>
      </c>
      <c r="M601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02" spans="1:13" ht="67.5" x14ac:dyDescent="0.25">
      <c r="A602" t="s">
        <v>438</v>
      </c>
      <c r="B602" t="s">
        <v>468</v>
      </c>
      <c r="C602" t="s">
        <v>482</v>
      </c>
      <c r="D602" t="s">
        <v>98</v>
      </c>
      <c r="E602" t="s">
        <v>99</v>
      </c>
      <c r="F602" t="s">
        <v>483</v>
      </c>
      <c r="G602">
        <v>110</v>
      </c>
      <c r="H602" t="s">
        <v>6</v>
      </c>
      <c r="I602" t="s">
        <v>455</v>
      </c>
      <c r="J602">
        <v>200000</v>
      </c>
      <c r="K602">
        <v>12</v>
      </c>
      <c r="L602">
        <f>VLOOKUP(Merge1[[#This Row],[제품코드]],공정중_우선순위[[제품코드]:[우선순위]],4,0)</f>
        <v>1</v>
      </c>
      <c r="M602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603" spans="1:13" ht="67.5" x14ac:dyDescent="0.25">
      <c r="A603" t="s">
        <v>438</v>
      </c>
      <c r="B603" t="s">
        <v>468</v>
      </c>
      <c r="C603" t="s">
        <v>480</v>
      </c>
      <c r="D603" t="s">
        <v>98</v>
      </c>
      <c r="E603" t="s">
        <v>99</v>
      </c>
      <c r="F603" t="s">
        <v>481</v>
      </c>
      <c r="G603">
        <v>110</v>
      </c>
      <c r="H603" t="s">
        <v>6</v>
      </c>
      <c r="I603" t="s">
        <v>455</v>
      </c>
      <c r="J603">
        <v>200000</v>
      </c>
      <c r="K603">
        <v>12</v>
      </c>
      <c r="L603">
        <f>VLOOKUP(Merge1[[#This Row],[제품코드]],공정중_우선순위[[제품코드]:[우선순위]],4,0)</f>
        <v>1</v>
      </c>
      <c r="M603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04" spans="1:13" ht="67.5" x14ac:dyDescent="0.25">
      <c r="A604" t="s">
        <v>438</v>
      </c>
      <c r="B604" t="s">
        <v>468</v>
      </c>
      <c r="C604" t="s">
        <v>480</v>
      </c>
      <c r="D604" t="s">
        <v>98</v>
      </c>
      <c r="E604" t="s">
        <v>99</v>
      </c>
      <c r="F604" t="s">
        <v>481</v>
      </c>
      <c r="G604">
        <v>60</v>
      </c>
      <c r="H604" t="s">
        <v>5</v>
      </c>
      <c r="I604" t="s">
        <v>473</v>
      </c>
      <c r="J604">
        <v>200000</v>
      </c>
      <c r="K604">
        <v>15</v>
      </c>
      <c r="L604">
        <f>VLOOKUP(Merge1[[#This Row],[제품코드]],공정중_우선순위[[제품코드]:[우선순위]],4,0)</f>
        <v>1</v>
      </c>
      <c r="M604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05" spans="1:13" ht="67.5" x14ac:dyDescent="0.25">
      <c r="A605" t="s">
        <v>438</v>
      </c>
      <c r="B605" t="s">
        <v>468</v>
      </c>
      <c r="C605" t="s">
        <v>480</v>
      </c>
      <c r="D605" t="s">
        <v>98</v>
      </c>
      <c r="E605" t="s">
        <v>99</v>
      </c>
      <c r="F605" t="s">
        <v>481</v>
      </c>
      <c r="G605">
        <v>60</v>
      </c>
      <c r="H605" t="s">
        <v>5</v>
      </c>
      <c r="I605" t="s">
        <v>473</v>
      </c>
      <c r="J605">
        <v>200000</v>
      </c>
      <c r="K605">
        <v>15</v>
      </c>
      <c r="L605">
        <f>VLOOKUP(Merge1[[#This Row],[제품코드]],공정중_우선순위[[제품코드]:[우선순위]],4,0)</f>
        <v>1</v>
      </c>
      <c r="M605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06" spans="1:13" ht="67.5" x14ac:dyDescent="0.25">
      <c r="A606" t="s">
        <v>438</v>
      </c>
      <c r="B606" t="s">
        <v>468</v>
      </c>
      <c r="C606" t="s">
        <v>482</v>
      </c>
      <c r="D606" t="s">
        <v>98</v>
      </c>
      <c r="E606" t="s">
        <v>99</v>
      </c>
      <c r="F606" t="s">
        <v>483</v>
      </c>
      <c r="G606">
        <v>80</v>
      </c>
      <c r="H606" t="s">
        <v>9</v>
      </c>
      <c r="I606" t="s">
        <v>476</v>
      </c>
      <c r="J606">
        <v>200000</v>
      </c>
      <c r="K606">
        <v>10</v>
      </c>
      <c r="L606">
        <f>VLOOKUP(Merge1[[#This Row],[제품코드]],공정중_우선순위[[제품코드]:[우선순위]],4,0)</f>
        <v>1</v>
      </c>
      <c r="M606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607" spans="1:13" ht="67.5" x14ac:dyDescent="0.25">
      <c r="A607" t="s">
        <v>438</v>
      </c>
      <c r="B607" t="s">
        <v>468</v>
      </c>
      <c r="C607" t="s">
        <v>480</v>
      </c>
      <c r="D607" t="s">
        <v>98</v>
      </c>
      <c r="E607" t="s">
        <v>99</v>
      </c>
      <c r="F607" t="s">
        <v>481</v>
      </c>
      <c r="G607">
        <v>80</v>
      </c>
      <c r="H607" t="s">
        <v>9</v>
      </c>
      <c r="I607" t="s">
        <v>476</v>
      </c>
      <c r="J607">
        <v>200000</v>
      </c>
      <c r="K607">
        <v>10</v>
      </c>
      <c r="L607">
        <f>VLOOKUP(Merge1[[#This Row],[제품코드]],공정중_우선순위[[제품코드]:[우선순위]],4,0)</f>
        <v>1</v>
      </c>
      <c r="M607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08" spans="1:13" ht="67.5" x14ac:dyDescent="0.25">
      <c r="A608" t="s">
        <v>438</v>
      </c>
      <c r="B608" t="s">
        <v>468</v>
      </c>
      <c r="C608" t="s">
        <v>482</v>
      </c>
      <c r="D608" t="s">
        <v>98</v>
      </c>
      <c r="E608" t="s">
        <v>99</v>
      </c>
      <c r="F608" t="s">
        <v>483</v>
      </c>
      <c r="G608">
        <v>80</v>
      </c>
      <c r="H608" t="s">
        <v>9</v>
      </c>
      <c r="I608" t="s">
        <v>476</v>
      </c>
      <c r="J608">
        <v>200000</v>
      </c>
      <c r="K608">
        <v>10</v>
      </c>
      <c r="L608">
        <f>VLOOKUP(Merge1[[#This Row],[제품코드]],공정중_우선순위[[제품코드]:[우선순위]],4,0)</f>
        <v>1</v>
      </c>
      <c r="M608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609" spans="1:13" ht="67.5" x14ac:dyDescent="0.25">
      <c r="A609" t="s">
        <v>438</v>
      </c>
      <c r="B609" t="s">
        <v>468</v>
      </c>
      <c r="C609" t="s">
        <v>480</v>
      </c>
      <c r="D609" t="s">
        <v>98</v>
      </c>
      <c r="E609" t="s">
        <v>99</v>
      </c>
      <c r="F609" t="s">
        <v>481</v>
      </c>
      <c r="G609">
        <v>80</v>
      </c>
      <c r="H609" t="s">
        <v>9</v>
      </c>
      <c r="I609" t="s">
        <v>476</v>
      </c>
      <c r="J609">
        <v>200000</v>
      </c>
      <c r="K609">
        <v>10</v>
      </c>
      <c r="L609">
        <f>VLOOKUP(Merge1[[#This Row],[제품코드]],공정중_우선순위[[제품코드]:[우선순위]],4,0)</f>
        <v>1</v>
      </c>
      <c r="M609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10" spans="1:13" ht="67.5" x14ac:dyDescent="0.25">
      <c r="A610" t="s">
        <v>438</v>
      </c>
      <c r="B610" t="s">
        <v>468</v>
      </c>
      <c r="C610" t="s">
        <v>482</v>
      </c>
      <c r="D610" t="s">
        <v>98</v>
      </c>
      <c r="E610" t="s">
        <v>99</v>
      </c>
      <c r="F610" t="s">
        <v>483</v>
      </c>
      <c r="G610">
        <v>110</v>
      </c>
      <c r="H610" t="s">
        <v>6</v>
      </c>
      <c r="I610" t="s">
        <v>455</v>
      </c>
      <c r="J610">
        <v>200000</v>
      </c>
      <c r="K610">
        <v>12</v>
      </c>
      <c r="L610">
        <f>VLOOKUP(Merge1[[#This Row],[제품코드]],공정중_우선순위[[제품코드]:[우선순위]],4,0)</f>
        <v>1</v>
      </c>
      <c r="M610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611" spans="1:13" ht="67.5" x14ac:dyDescent="0.25">
      <c r="A611" t="s">
        <v>438</v>
      </c>
      <c r="B611" t="s">
        <v>468</v>
      </c>
      <c r="C611" t="s">
        <v>480</v>
      </c>
      <c r="D611" t="s">
        <v>98</v>
      </c>
      <c r="E611" t="s">
        <v>99</v>
      </c>
      <c r="F611" t="s">
        <v>481</v>
      </c>
      <c r="G611">
        <v>110</v>
      </c>
      <c r="H611" t="s">
        <v>6</v>
      </c>
      <c r="I611" t="s">
        <v>455</v>
      </c>
      <c r="J611">
        <v>200000</v>
      </c>
      <c r="K611">
        <v>12</v>
      </c>
      <c r="L611">
        <f>VLOOKUP(Merge1[[#This Row],[제품코드]],공정중_우선순위[[제품코드]:[우선순위]],4,0)</f>
        <v>1</v>
      </c>
      <c r="M611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12" spans="1:13" ht="67.5" x14ac:dyDescent="0.25">
      <c r="A612" t="s">
        <v>438</v>
      </c>
      <c r="B612" t="s">
        <v>468</v>
      </c>
      <c r="C612" t="s">
        <v>482</v>
      </c>
      <c r="D612" t="s">
        <v>98</v>
      </c>
      <c r="E612" t="s">
        <v>99</v>
      </c>
      <c r="F612" t="s">
        <v>483</v>
      </c>
      <c r="G612">
        <v>110</v>
      </c>
      <c r="H612" t="s">
        <v>6</v>
      </c>
      <c r="I612" t="s">
        <v>455</v>
      </c>
      <c r="J612">
        <v>200000</v>
      </c>
      <c r="K612">
        <v>12</v>
      </c>
      <c r="L612">
        <f>VLOOKUP(Merge1[[#This Row],[제품코드]],공정중_우선순위[[제품코드]:[우선순위]],4,0)</f>
        <v>1</v>
      </c>
      <c r="M612" s="10" t="str">
        <f>_xlfn.TEXTJOIN(CHAR(10), TRUE, ,Merge1[[#This Row],[제품명]],Merge1[[#This Row],[오더번호]],Merge1[[#This Row],[제조번호]],Merge1[[#This Row],[지시수량]])</f>
        <v>폴민다파서방정10/1000mg 반제품 (녹십자)
1015595
1161033
200000</v>
      </c>
    </row>
    <row r="613" spans="1:13" ht="67.5" x14ac:dyDescent="0.25">
      <c r="A613" t="s">
        <v>438</v>
      </c>
      <c r="B613" t="s">
        <v>468</v>
      </c>
      <c r="C613" t="s">
        <v>480</v>
      </c>
      <c r="D613" t="s">
        <v>98</v>
      </c>
      <c r="E613" t="s">
        <v>99</v>
      </c>
      <c r="F613" t="s">
        <v>481</v>
      </c>
      <c r="G613">
        <v>110</v>
      </c>
      <c r="H613" t="s">
        <v>6</v>
      </c>
      <c r="I613" t="s">
        <v>455</v>
      </c>
      <c r="J613">
        <v>200000</v>
      </c>
      <c r="K613">
        <v>12</v>
      </c>
      <c r="L613">
        <f>VLOOKUP(Merge1[[#This Row],[제품코드]],공정중_우선순위[[제품코드]:[우선순위]],4,0)</f>
        <v>1</v>
      </c>
      <c r="M613" s="10" t="str">
        <f>_xlfn.TEXTJOIN(CHAR(10), TRUE, ,Merge1[[#This Row],[제품명]],Merge1[[#This Row],[오더번호]],Merge1[[#This Row],[제조번호]],Merge1[[#This Row],[지시수량]])</f>
        <v>폴민다파서방정10/1000mg 반제품 (녹십자)
1015596
1161034
200000</v>
      </c>
    </row>
    <row r="614" spans="1:13" ht="67.5" x14ac:dyDescent="0.25">
      <c r="A614" t="s">
        <v>438</v>
      </c>
      <c r="B614" t="s">
        <v>468</v>
      </c>
      <c r="C614" t="s">
        <v>471</v>
      </c>
      <c r="D614" t="s">
        <v>90</v>
      </c>
      <c r="E614" t="s">
        <v>91</v>
      </c>
      <c r="F614" t="s">
        <v>472</v>
      </c>
      <c r="G614">
        <v>60</v>
      </c>
      <c r="H614" t="s">
        <v>5</v>
      </c>
      <c r="I614" t="s">
        <v>473</v>
      </c>
      <c r="J614">
        <v>200000</v>
      </c>
      <c r="K614">
        <v>15</v>
      </c>
      <c r="L614">
        <f>VLOOKUP(Merge1[[#This Row],[제품코드]],공정중_우선순위[[제품코드]:[우선순위]],4,0)</f>
        <v>3</v>
      </c>
      <c r="M614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15" spans="1:13" ht="67.5" x14ac:dyDescent="0.25">
      <c r="A615" t="s">
        <v>438</v>
      </c>
      <c r="B615" t="s">
        <v>468</v>
      </c>
      <c r="C615" t="s">
        <v>474</v>
      </c>
      <c r="D615" t="s">
        <v>90</v>
      </c>
      <c r="E615" t="s">
        <v>91</v>
      </c>
      <c r="F615" t="s">
        <v>475</v>
      </c>
      <c r="G615">
        <v>60</v>
      </c>
      <c r="H615" t="s">
        <v>5</v>
      </c>
      <c r="I615" t="s">
        <v>473</v>
      </c>
      <c r="J615">
        <v>200000</v>
      </c>
      <c r="K615">
        <v>15</v>
      </c>
      <c r="L615">
        <f>VLOOKUP(Merge1[[#This Row],[제품코드]],공정중_우선순위[[제품코드]:[우선순위]],4,0)</f>
        <v>3</v>
      </c>
      <c r="M615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16" spans="1:13" ht="67.5" x14ac:dyDescent="0.25">
      <c r="A616" t="s">
        <v>438</v>
      </c>
      <c r="B616" t="s">
        <v>468</v>
      </c>
      <c r="C616" t="s">
        <v>469</v>
      </c>
      <c r="D616" t="s">
        <v>90</v>
      </c>
      <c r="E616" t="s">
        <v>91</v>
      </c>
      <c r="F616" t="s">
        <v>470</v>
      </c>
      <c r="G616">
        <v>60</v>
      </c>
      <c r="H616" t="s">
        <v>5</v>
      </c>
      <c r="I616" t="s">
        <v>473</v>
      </c>
      <c r="J616">
        <v>200000</v>
      </c>
      <c r="K616">
        <v>15</v>
      </c>
      <c r="L616">
        <f>VLOOKUP(Merge1[[#This Row],[제품코드]],공정중_우선순위[[제품코드]:[우선순위]],4,0)</f>
        <v>3</v>
      </c>
      <c r="M616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17" spans="1:13" ht="67.5" x14ac:dyDescent="0.25">
      <c r="A617" t="s">
        <v>438</v>
      </c>
      <c r="B617" t="s">
        <v>468</v>
      </c>
      <c r="C617" t="s">
        <v>471</v>
      </c>
      <c r="D617" t="s">
        <v>90</v>
      </c>
      <c r="E617" t="s">
        <v>91</v>
      </c>
      <c r="F617" t="s">
        <v>472</v>
      </c>
      <c r="G617">
        <v>60</v>
      </c>
      <c r="H617" t="s">
        <v>5</v>
      </c>
      <c r="I617" t="s">
        <v>473</v>
      </c>
      <c r="J617">
        <v>200000</v>
      </c>
      <c r="K617">
        <v>15</v>
      </c>
      <c r="L617">
        <f>VLOOKUP(Merge1[[#This Row],[제품코드]],공정중_우선순위[[제품코드]:[우선순위]],4,0)</f>
        <v>3</v>
      </c>
      <c r="M617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18" spans="1:13" ht="67.5" x14ac:dyDescent="0.25">
      <c r="A618" t="s">
        <v>438</v>
      </c>
      <c r="B618" t="s">
        <v>468</v>
      </c>
      <c r="C618" t="s">
        <v>474</v>
      </c>
      <c r="D618" t="s">
        <v>90</v>
      </c>
      <c r="E618" t="s">
        <v>91</v>
      </c>
      <c r="F618" t="s">
        <v>475</v>
      </c>
      <c r="G618">
        <v>60</v>
      </c>
      <c r="H618" t="s">
        <v>5</v>
      </c>
      <c r="I618" t="s">
        <v>473</v>
      </c>
      <c r="J618">
        <v>200000</v>
      </c>
      <c r="K618">
        <v>15</v>
      </c>
      <c r="L618">
        <f>VLOOKUP(Merge1[[#This Row],[제품코드]],공정중_우선순위[[제품코드]:[우선순위]],4,0)</f>
        <v>3</v>
      </c>
      <c r="M618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19" spans="1:13" ht="67.5" x14ac:dyDescent="0.25">
      <c r="A619" t="s">
        <v>438</v>
      </c>
      <c r="B619" t="s">
        <v>468</v>
      </c>
      <c r="C619" t="s">
        <v>469</v>
      </c>
      <c r="D619" t="s">
        <v>90</v>
      </c>
      <c r="E619" t="s">
        <v>91</v>
      </c>
      <c r="F619" t="s">
        <v>470</v>
      </c>
      <c r="G619">
        <v>60</v>
      </c>
      <c r="H619" t="s">
        <v>5</v>
      </c>
      <c r="I619" t="s">
        <v>473</v>
      </c>
      <c r="J619">
        <v>200000</v>
      </c>
      <c r="K619">
        <v>15</v>
      </c>
      <c r="L619">
        <f>VLOOKUP(Merge1[[#This Row],[제품코드]],공정중_우선순위[[제품코드]:[우선순위]],4,0)</f>
        <v>3</v>
      </c>
      <c r="M619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20" spans="1:13" ht="67.5" x14ac:dyDescent="0.25">
      <c r="A620" t="s">
        <v>438</v>
      </c>
      <c r="B620" t="s">
        <v>468</v>
      </c>
      <c r="C620" t="s">
        <v>471</v>
      </c>
      <c r="D620" t="s">
        <v>90</v>
      </c>
      <c r="E620" t="s">
        <v>91</v>
      </c>
      <c r="F620" t="s">
        <v>472</v>
      </c>
      <c r="G620">
        <v>80</v>
      </c>
      <c r="H620" t="s">
        <v>9</v>
      </c>
      <c r="I620" t="s">
        <v>476</v>
      </c>
      <c r="J620">
        <v>200000</v>
      </c>
      <c r="K620">
        <v>10</v>
      </c>
      <c r="L620">
        <f>VLOOKUP(Merge1[[#This Row],[제품코드]],공정중_우선순위[[제품코드]:[우선순위]],4,0)</f>
        <v>3</v>
      </c>
      <c r="M620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21" spans="1:13" ht="67.5" x14ac:dyDescent="0.25">
      <c r="A621" t="s">
        <v>438</v>
      </c>
      <c r="B621" t="s">
        <v>468</v>
      </c>
      <c r="C621" t="s">
        <v>474</v>
      </c>
      <c r="D621" t="s">
        <v>90</v>
      </c>
      <c r="E621" t="s">
        <v>91</v>
      </c>
      <c r="F621" t="s">
        <v>475</v>
      </c>
      <c r="G621">
        <v>80</v>
      </c>
      <c r="H621" t="s">
        <v>9</v>
      </c>
      <c r="I621" t="s">
        <v>476</v>
      </c>
      <c r="J621">
        <v>200000</v>
      </c>
      <c r="K621">
        <v>10</v>
      </c>
      <c r="L621">
        <f>VLOOKUP(Merge1[[#This Row],[제품코드]],공정중_우선순위[[제품코드]:[우선순위]],4,0)</f>
        <v>3</v>
      </c>
      <c r="M621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22" spans="1:13" ht="67.5" x14ac:dyDescent="0.25">
      <c r="A622" t="s">
        <v>438</v>
      </c>
      <c r="B622" t="s">
        <v>468</v>
      </c>
      <c r="C622" t="s">
        <v>469</v>
      </c>
      <c r="D622" t="s">
        <v>90</v>
      </c>
      <c r="E622" t="s">
        <v>91</v>
      </c>
      <c r="F622" t="s">
        <v>470</v>
      </c>
      <c r="G622">
        <v>80</v>
      </c>
      <c r="H622" t="s">
        <v>9</v>
      </c>
      <c r="I622" t="s">
        <v>476</v>
      </c>
      <c r="J622">
        <v>200000</v>
      </c>
      <c r="K622">
        <v>10</v>
      </c>
      <c r="L622">
        <f>VLOOKUP(Merge1[[#This Row],[제품코드]],공정중_우선순위[[제품코드]:[우선순위]],4,0)</f>
        <v>3</v>
      </c>
      <c r="M622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23" spans="1:13" ht="67.5" x14ac:dyDescent="0.25">
      <c r="A623" t="s">
        <v>438</v>
      </c>
      <c r="B623" t="s">
        <v>468</v>
      </c>
      <c r="C623" t="s">
        <v>471</v>
      </c>
      <c r="D623" t="s">
        <v>90</v>
      </c>
      <c r="E623" t="s">
        <v>91</v>
      </c>
      <c r="F623" t="s">
        <v>472</v>
      </c>
      <c r="G623">
        <v>80</v>
      </c>
      <c r="H623" t="s">
        <v>9</v>
      </c>
      <c r="I623" t="s">
        <v>476</v>
      </c>
      <c r="J623">
        <v>200000</v>
      </c>
      <c r="K623">
        <v>10</v>
      </c>
      <c r="L623">
        <f>VLOOKUP(Merge1[[#This Row],[제품코드]],공정중_우선순위[[제품코드]:[우선순위]],4,0)</f>
        <v>3</v>
      </c>
      <c r="M623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24" spans="1:13" ht="67.5" x14ac:dyDescent="0.25">
      <c r="A624" t="s">
        <v>438</v>
      </c>
      <c r="B624" t="s">
        <v>468</v>
      </c>
      <c r="C624" t="s">
        <v>474</v>
      </c>
      <c r="D624" t="s">
        <v>90</v>
      </c>
      <c r="E624" t="s">
        <v>91</v>
      </c>
      <c r="F624" t="s">
        <v>475</v>
      </c>
      <c r="G624">
        <v>80</v>
      </c>
      <c r="H624" t="s">
        <v>9</v>
      </c>
      <c r="I624" t="s">
        <v>476</v>
      </c>
      <c r="J624">
        <v>200000</v>
      </c>
      <c r="K624">
        <v>10</v>
      </c>
      <c r="L624">
        <f>VLOOKUP(Merge1[[#This Row],[제품코드]],공정중_우선순위[[제품코드]:[우선순위]],4,0)</f>
        <v>3</v>
      </c>
      <c r="M624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25" spans="1:13" ht="67.5" x14ac:dyDescent="0.25">
      <c r="A625" t="s">
        <v>438</v>
      </c>
      <c r="B625" t="s">
        <v>468</v>
      </c>
      <c r="C625" t="s">
        <v>469</v>
      </c>
      <c r="D625" t="s">
        <v>90</v>
      </c>
      <c r="E625" t="s">
        <v>91</v>
      </c>
      <c r="F625" t="s">
        <v>470</v>
      </c>
      <c r="G625">
        <v>80</v>
      </c>
      <c r="H625" t="s">
        <v>9</v>
      </c>
      <c r="I625" t="s">
        <v>476</v>
      </c>
      <c r="J625">
        <v>200000</v>
      </c>
      <c r="K625">
        <v>10</v>
      </c>
      <c r="L625">
        <f>VLOOKUP(Merge1[[#This Row],[제품코드]],공정중_우선순위[[제품코드]:[우선순위]],4,0)</f>
        <v>3</v>
      </c>
      <c r="M625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26" spans="1:13" ht="67.5" x14ac:dyDescent="0.25">
      <c r="A626" t="s">
        <v>438</v>
      </c>
      <c r="B626" t="s">
        <v>468</v>
      </c>
      <c r="C626" t="s">
        <v>471</v>
      </c>
      <c r="D626" t="s">
        <v>90</v>
      </c>
      <c r="E626" t="s">
        <v>91</v>
      </c>
      <c r="F626" t="s">
        <v>472</v>
      </c>
      <c r="G626">
        <v>110</v>
      </c>
      <c r="H626" t="s">
        <v>6</v>
      </c>
      <c r="I626" t="s">
        <v>455</v>
      </c>
      <c r="J626">
        <v>200000</v>
      </c>
      <c r="K626">
        <v>12</v>
      </c>
      <c r="L626">
        <f>VLOOKUP(Merge1[[#This Row],[제품코드]],공정중_우선순위[[제품코드]:[우선순위]],4,0)</f>
        <v>3</v>
      </c>
      <c r="M626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27" spans="1:13" ht="67.5" x14ac:dyDescent="0.25">
      <c r="A627" t="s">
        <v>438</v>
      </c>
      <c r="B627" t="s">
        <v>468</v>
      </c>
      <c r="C627" t="s">
        <v>474</v>
      </c>
      <c r="D627" t="s">
        <v>90</v>
      </c>
      <c r="E627" t="s">
        <v>91</v>
      </c>
      <c r="F627" t="s">
        <v>475</v>
      </c>
      <c r="G627">
        <v>110</v>
      </c>
      <c r="H627" t="s">
        <v>6</v>
      </c>
      <c r="I627" t="s">
        <v>455</v>
      </c>
      <c r="J627">
        <v>200000</v>
      </c>
      <c r="K627">
        <v>12</v>
      </c>
      <c r="L627">
        <f>VLOOKUP(Merge1[[#This Row],[제품코드]],공정중_우선순위[[제품코드]:[우선순위]],4,0)</f>
        <v>3</v>
      </c>
      <c r="M627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28" spans="1:13" ht="67.5" x14ac:dyDescent="0.25">
      <c r="A628" t="s">
        <v>438</v>
      </c>
      <c r="B628" t="s">
        <v>468</v>
      </c>
      <c r="C628" t="s">
        <v>469</v>
      </c>
      <c r="D628" t="s">
        <v>90</v>
      </c>
      <c r="E628" t="s">
        <v>91</v>
      </c>
      <c r="F628" t="s">
        <v>470</v>
      </c>
      <c r="G628">
        <v>110</v>
      </c>
      <c r="H628" t="s">
        <v>6</v>
      </c>
      <c r="I628" t="s">
        <v>455</v>
      </c>
      <c r="J628">
        <v>200000</v>
      </c>
      <c r="K628">
        <v>12</v>
      </c>
      <c r="L628">
        <f>VLOOKUP(Merge1[[#This Row],[제품코드]],공정중_우선순위[[제품코드]:[우선순위]],4,0)</f>
        <v>3</v>
      </c>
      <c r="M628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29" spans="1:13" ht="67.5" x14ac:dyDescent="0.25">
      <c r="A629" t="s">
        <v>438</v>
      </c>
      <c r="B629" t="s">
        <v>468</v>
      </c>
      <c r="C629" t="s">
        <v>471</v>
      </c>
      <c r="D629" t="s">
        <v>90</v>
      </c>
      <c r="E629" t="s">
        <v>91</v>
      </c>
      <c r="F629" t="s">
        <v>472</v>
      </c>
      <c r="G629">
        <v>110</v>
      </c>
      <c r="H629" t="s">
        <v>6</v>
      </c>
      <c r="I629" t="s">
        <v>455</v>
      </c>
      <c r="J629">
        <v>200000</v>
      </c>
      <c r="K629">
        <v>12</v>
      </c>
      <c r="L629">
        <f>VLOOKUP(Merge1[[#This Row],[제품코드]],공정중_우선순위[[제품코드]:[우선순위]],4,0)</f>
        <v>3</v>
      </c>
      <c r="M629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30" spans="1:13" ht="67.5" x14ac:dyDescent="0.25">
      <c r="A630" t="s">
        <v>438</v>
      </c>
      <c r="B630" t="s">
        <v>468</v>
      </c>
      <c r="C630" t="s">
        <v>474</v>
      </c>
      <c r="D630" t="s">
        <v>90</v>
      </c>
      <c r="E630" t="s">
        <v>91</v>
      </c>
      <c r="F630" t="s">
        <v>475</v>
      </c>
      <c r="G630">
        <v>110</v>
      </c>
      <c r="H630" t="s">
        <v>6</v>
      </c>
      <c r="I630" t="s">
        <v>455</v>
      </c>
      <c r="J630">
        <v>200000</v>
      </c>
      <c r="K630">
        <v>12</v>
      </c>
      <c r="L630">
        <f>VLOOKUP(Merge1[[#This Row],[제품코드]],공정중_우선순위[[제품코드]:[우선순위]],4,0)</f>
        <v>3</v>
      </c>
      <c r="M630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31" spans="1:13" ht="67.5" x14ac:dyDescent="0.25">
      <c r="A631" t="s">
        <v>438</v>
      </c>
      <c r="B631" t="s">
        <v>468</v>
      </c>
      <c r="C631" t="s">
        <v>469</v>
      </c>
      <c r="D631" t="s">
        <v>90</v>
      </c>
      <c r="E631" t="s">
        <v>91</v>
      </c>
      <c r="F631" t="s">
        <v>470</v>
      </c>
      <c r="G631">
        <v>110</v>
      </c>
      <c r="H631" t="s">
        <v>6</v>
      </c>
      <c r="I631" t="s">
        <v>455</v>
      </c>
      <c r="J631">
        <v>200000</v>
      </c>
      <c r="K631">
        <v>12</v>
      </c>
      <c r="L631">
        <f>VLOOKUP(Merge1[[#This Row],[제품코드]],공정중_우선순위[[제품코드]:[우선순위]],4,0)</f>
        <v>3</v>
      </c>
      <c r="M631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32" spans="1:13" ht="67.5" x14ac:dyDescent="0.25">
      <c r="A632" t="s">
        <v>438</v>
      </c>
      <c r="B632" t="s">
        <v>468</v>
      </c>
      <c r="C632" t="s">
        <v>471</v>
      </c>
      <c r="D632" t="s">
        <v>90</v>
      </c>
      <c r="E632" t="s">
        <v>91</v>
      </c>
      <c r="F632" t="s">
        <v>472</v>
      </c>
      <c r="G632">
        <v>60</v>
      </c>
      <c r="H632" t="s">
        <v>5</v>
      </c>
      <c r="I632" t="s">
        <v>473</v>
      </c>
      <c r="J632">
        <v>200000</v>
      </c>
      <c r="K632">
        <v>15</v>
      </c>
      <c r="L632">
        <f>VLOOKUP(Merge1[[#This Row],[제품코드]],공정중_우선순위[[제품코드]:[우선순위]],4,0)</f>
        <v>3</v>
      </c>
      <c r="M632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33" spans="1:13" ht="67.5" x14ac:dyDescent="0.25">
      <c r="A633" t="s">
        <v>438</v>
      </c>
      <c r="B633" t="s">
        <v>468</v>
      </c>
      <c r="C633" t="s">
        <v>474</v>
      </c>
      <c r="D633" t="s">
        <v>90</v>
      </c>
      <c r="E633" t="s">
        <v>91</v>
      </c>
      <c r="F633" t="s">
        <v>475</v>
      </c>
      <c r="G633">
        <v>60</v>
      </c>
      <c r="H633" t="s">
        <v>5</v>
      </c>
      <c r="I633" t="s">
        <v>473</v>
      </c>
      <c r="J633">
        <v>200000</v>
      </c>
      <c r="K633">
        <v>15</v>
      </c>
      <c r="L633">
        <f>VLOOKUP(Merge1[[#This Row],[제품코드]],공정중_우선순위[[제품코드]:[우선순위]],4,0)</f>
        <v>3</v>
      </c>
      <c r="M633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34" spans="1:13" ht="67.5" x14ac:dyDescent="0.25">
      <c r="A634" t="s">
        <v>438</v>
      </c>
      <c r="B634" t="s">
        <v>468</v>
      </c>
      <c r="C634" t="s">
        <v>469</v>
      </c>
      <c r="D634" t="s">
        <v>90</v>
      </c>
      <c r="E634" t="s">
        <v>91</v>
      </c>
      <c r="F634" t="s">
        <v>470</v>
      </c>
      <c r="G634">
        <v>60</v>
      </c>
      <c r="H634" t="s">
        <v>5</v>
      </c>
      <c r="I634" t="s">
        <v>473</v>
      </c>
      <c r="J634">
        <v>200000</v>
      </c>
      <c r="K634">
        <v>15</v>
      </c>
      <c r="L634">
        <f>VLOOKUP(Merge1[[#This Row],[제품코드]],공정중_우선순위[[제품코드]:[우선순위]],4,0)</f>
        <v>3</v>
      </c>
      <c r="M634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35" spans="1:13" ht="67.5" x14ac:dyDescent="0.25">
      <c r="A635" t="s">
        <v>438</v>
      </c>
      <c r="B635" t="s">
        <v>468</v>
      </c>
      <c r="C635" t="s">
        <v>471</v>
      </c>
      <c r="D635" t="s">
        <v>90</v>
      </c>
      <c r="E635" t="s">
        <v>91</v>
      </c>
      <c r="F635" t="s">
        <v>472</v>
      </c>
      <c r="G635">
        <v>60</v>
      </c>
      <c r="H635" t="s">
        <v>5</v>
      </c>
      <c r="I635" t="s">
        <v>473</v>
      </c>
      <c r="J635">
        <v>200000</v>
      </c>
      <c r="K635">
        <v>15</v>
      </c>
      <c r="L635">
        <f>VLOOKUP(Merge1[[#This Row],[제품코드]],공정중_우선순위[[제품코드]:[우선순위]],4,0)</f>
        <v>3</v>
      </c>
      <c r="M635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36" spans="1:13" ht="67.5" x14ac:dyDescent="0.25">
      <c r="A636" t="s">
        <v>438</v>
      </c>
      <c r="B636" t="s">
        <v>468</v>
      </c>
      <c r="C636" t="s">
        <v>474</v>
      </c>
      <c r="D636" t="s">
        <v>90</v>
      </c>
      <c r="E636" t="s">
        <v>91</v>
      </c>
      <c r="F636" t="s">
        <v>475</v>
      </c>
      <c r="G636">
        <v>60</v>
      </c>
      <c r="H636" t="s">
        <v>5</v>
      </c>
      <c r="I636" t="s">
        <v>473</v>
      </c>
      <c r="J636">
        <v>200000</v>
      </c>
      <c r="K636">
        <v>15</v>
      </c>
      <c r="L636">
        <f>VLOOKUP(Merge1[[#This Row],[제품코드]],공정중_우선순위[[제품코드]:[우선순위]],4,0)</f>
        <v>3</v>
      </c>
      <c r="M636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37" spans="1:13" ht="67.5" x14ac:dyDescent="0.25">
      <c r="A637" t="s">
        <v>438</v>
      </c>
      <c r="B637" t="s">
        <v>468</v>
      </c>
      <c r="C637" t="s">
        <v>469</v>
      </c>
      <c r="D637" t="s">
        <v>90</v>
      </c>
      <c r="E637" t="s">
        <v>91</v>
      </c>
      <c r="F637" t="s">
        <v>470</v>
      </c>
      <c r="G637">
        <v>60</v>
      </c>
      <c r="H637" t="s">
        <v>5</v>
      </c>
      <c r="I637" t="s">
        <v>473</v>
      </c>
      <c r="J637">
        <v>200000</v>
      </c>
      <c r="K637">
        <v>15</v>
      </c>
      <c r="L637">
        <f>VLOOKUP(Merge1[[#This Row],[제품코드]],공정중_우선순위[[제품코드]:[우선순위]],4,0)</f>
        <v>3</v>
      </c>
      <c r="M637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38" spans="1:13" ht="67.5" x14ac:dyDescent="0.25">
      <c r="A638" t="s">
        <v>438</v>
      </c>
      <c r="B638" t="s">
        <v>468</v>
      </c>
      <c r="C638" t="s">
        <v>471</v>
      </c>
      <c r="D638" t="s">
        <v>90</v>
      </c>
      <c r="E638" t="s">
        <v>91</v>
      </c>
      <c r="F638" t="s">
        <v>472</v>
      </c>
      <c r="G638">
        <v>80</v>
      </c>
      <c r="H638" t="s">
        <v>9</v>
      </c>
      <c r="I638" t="s">
        <v>476</v>
      </c>
      <c r="J638">
        <v>200000</v>
      </c>
      <c r="K638">
        <v>10</v>
      </c>
      <c r="L638">
        <f>VLOOKUP(Merge1[[#This Row],[제품코드]],공정중_우선순위[[제품코드]:[우선순위]],4,0)</f>
        <v>3</v>
      </c>
      <c r="M638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39" spans="1:13" ht="67.5" x14ac:dyDescent="0.25">
      <c r="A639" t="s">
        <v>438</v>
      </c>
      <c r="B639" t="s">
        <v>468</v>
      </c>
      <c r="C639" t="s">
        <v>474</v>
      </c>
      <c r="D639" t="s">
        <v>90</v>
      </c>
      <c r="E639" t="s">
        <v>91</v>
      </c>
      <c r="F639" t="s">
        <v>475</v>
      </c>
      <c r="G639">
        <v>80</v>
      </c>
      <c r="H639" t="s">
        <v>9</v>
      </c>
      <c r="I639" t="s">
        <v>476</v>
      </c>
      <c r="J639">
        <v>200000</v>
      </c>
      <c r="K639">
        <v>10</v>
      </c>
      <c r="L639">
        <f>VLOOKUP(Merge1[[#This Row],[제품코드]],공정중_우선순위[[제품코드]:[우선순위]],4,0)</f>
        <v>3</v>
      </c>
      <c r="M639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40" spans="1:13" ht="67.5" x14ac:dyDescent="0.25">
      <c r="A640" t="s">
        <v>438</v>
      </c>
      <c r="B640" t="s">
        <v>468</v>
      </c>
      <c r="C640" t="s">
        <v>469</v>
      </c>
      <c r="D640" t="s">
        <v>90</v>
      </c>
      <c r="E640" t="s">
        <v>91</v>
      </c>
      <c r="F640" t="s">
        <v>470</v>
      </c>
      <c r="G640">
        <v>80</v>
      </c>
      <c r="H640" t="s">
        <v>9</v>
      </c>
      <c r="I640" t="s">
        <v>476</v>
      </c>
      <c r="J640">
        <v>200000</v>
      </c>
      <c r="K640">
        <v>10</v>
      </c>
      <c r="L640">
        <f>VLOOKUP(Merge1[[#This Row],[제품코드]],공정중_우선순위[[제품코드]:[우선순위]],4,0)</f>
        <v>3</v>
      </c>
      <c r="M640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41" spans="1:13" ht="67.5" x14ac:dyDescent="0.25">
      <c r="A641" t="s">
        <v>438</v>
      </c>
      <c r="B641" t="s">
        <v>468</v>
      </c>
      <c r="C641" t="s">
        <v>471</v>
      </c>
      <c r="D641" t="s">
        <v>90</v>
      </c>
      <c r="E641" t="s">
        <v>91</v>
      </c>
      <c r="F641" t="s">
        <v>472</v>
      </c>
      <c r="G641">
        <v>80</v>
      </c>
      <c r="H641" t="s">
        <v>9</v>
      </c>
      <c r="I641" t="s">
        <v>476</v>
      </c>
      <c r="J641">
        <v>200000</v>
      </c>
      <c r="K641">
        <v>10</v>
      </c>
      <c r="L641">
        <f>VLOOKUP(Merge1[[#This Row],[제품코드]],공정중_우선순위[[제품코드]:[우선순위]],4,0)</f>
        <v>3</v>
      </c>
      <c r="M641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42" spans="1:13" ht="67.5" x14ac:dyDescent="0.25">
      <c r="A642" t="s">
        <v>438</v>
      </c>
      <c r="B642" t="s">
        <v>468</v>
      </c>
      <c r="C642" t="s">
        <v>474</v>
      </c>
      <c r="D642" t="s">
        <v>90</v>
      </c>
      <c r="E642" t="s">
        <v>91</v>
      </c>
      <c r="F642" t="s">
        <v>475</v>
      </c>
      <c r="G642">
        <v>80</v>
      </c>
      <c r="H642" t="s">
        <v>9</v>
      </c>
      <c r="I642" t="s">
        <v>476</v>
      </c>
      <c r="J642">
        <v>200000</v>
      </c>
      <c r="K642">
        <v>10</v>
      </c>
      <c r="L642">
        <f>VLOOKUP(Merge1[[#This Row],[제품코드]],공정중_우선순위[[제품코드]:[우선순위]],4,0)</f>
        <v>3</v>
      </c>
      <c r="M642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43" spans="1:13" ht="67.5" x14ac:dyDescent="0.25">
      <c r="A643" t="s">
        <v>438</v>
      </c>
      <c r="B643" t="s">
        <v>468</v>
      </c>
      <c r="C643" t="s">
        <v>469</v>
      </c>
      <c r="D643" t="s">
        <v>90</v>
      </c>
      <c r="E643" t="s">
        <v>91</v>
      </c>
      <c r="F643" t="s">
        <v>470</v>
      </c>
      <c r="G643">
        <v>80</v>
      </c>
      <c r="H643" t="s">
        <v>9</v>
      </c>
      <c r="I643" t="s">
        <v>476</v>
      </c>
      <c r="J643">
        <v>200000</v>
      </c>
      <c r="K643">
        <v>10</v>
      </c>
      <c r="L643">
        <f>VLOOKUP(Merge1[[#This Row],[제품코드]],공정중_우선순위[[제품코드]:[우선순위]],4,0)</f>
        <v>3</v>
      </c>
      <c r="M643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44" spans="1:13" ht="67.5" x14ac:dyDescent="0.25">
      <c r="A644" t="s">
        <v>438</v>
      </c>
      <c r="B644" t="s">
        <v>468</v>
      </c>
      <c r="C644" t="s">
        <v>471</v>
      </c>
      <c r="D644" t="s">
        <v>90</v>
      </c>
      <c r="E644" t="s">
        <v>91</v>
      </c>
      <c r="F644" t="s">
        <v>472</v>
      </c>
      <c r="G644">
        <v>110</v>
      </c>
      <c r="H644" t="s">
        <v>6</v>
      </c>
      <c r="I644" t="s">
        <v>455</v>
      </c>
      <c r="J644">
        <v>200000</v>
      </c>
      <c r="K644">
        <v>12</v>
      </c>
      <c r="L644">
        <f>VLOOKUP(Merge1[[#This Row],[제품코드]],공정중_우선순위[[제품코드]:[우선순위]],4,0)</f>
        <v>3</v>
      </c>
      <c r="M644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45" spans="1:13" ht="67.5" x14ac:dyDescent="0.25">
      <c r="A645" t="s">
        <v>438</v>
      </c>
      <c r="B645" t="s">
        <v>468</v>
      </c>
      <c r="C645" t="s">
        <v>474</v>
      </c>
      <c r="D645" t="s">
        <v>90</v>
      </c>
      <c r="E645" t="s">
        <v>91</v>
      </c>
      <c r="F645" t="s">
        <v>475</v>
      </c>
      <c r="G645">
        <v>110</v>
      </c>
      <c r="H645" t="s">
        <v>6</v>
      </c>
      <c r="I645" t="s">
        <v>455</v>
      </c>
      <c r="J645">
        <v>200000</v>
      </c>
      <c r="K645">
        <v>12</v>
      </c>
      <c r="L645">
        <f>VLOOKUP(Merge1[[#This Row],[제품코드]],공정중_우선순위[[제품코드]:[우선순위]],4,0)</f>
        <v>3</v>
      </c>
      <c r="M645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46" spans="1:13" ht="67.5" x14ac:dyDescent="0.25">
      <c r="A646" t="s">
        <v>438</v>
      </c>
      <c r="B646" t="s">
        <v>468</v>
      </c>
      <c r="C646" t="s">
        <v>469</v>
      </c>
      <c r="D646" t="s">
        <v>90</v>
      </c>
      <c r="E646" t="s">
        <v>91</v>
      </c>
      <c r="F646" t="s">
        <v>470</v>
      </c>
      <c r="G646">
        <v>110</v>
      </c>
      <c r="H646" t="s">
        <v>6</v>
      </c>
      <c r="I646" t="s">
        <v>455</v>
      </c>
      <c r="J646">
        <v>200000</v>
      </c>
      <c r="K646">
        <v>12</v>
      </c>
      <c r="L646">
        <f>VLOOKUP(Merge1[[#This Row],[제품코드]],공정중_우선순위[[제품코드]:[우선순위]],4,0)</f>
        <v>3</v>
      </c>
      <c r="M646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47" spans="1:13" ht="67.5" x14ac:dyDescent="0.25">
      <c r="A647" t="s">
        <v>438</v>
      </c>
      <c r="B647" t="s">
        <v>468</v>
      </c>
      <c r="C647" t="s">
        <v>471</v>
      </c>
      <c r="D647" t="s">
        <v>90</v>
      </c>
      <c r="E647" t="s">
        <v>91</v>
      </c>
      <c r="F647" t="s">
        <v>472</v>
      </c>
      <c r="G647">
        <v>110</v>
      </c>
      <c r="H647" t="s">
        <v>6</v>
      </c>
      <c r="I647" t="s">
        <v>455</v>
      </c>
      <c r="J647">
        <v>200000</v>
      </c>
      <c r="K647">
        <v>12</v>
      </c>
      <c r="L647">
        <f>VLOOKUP(Merge1[[#This Row],[제품코드]],공정중_우선순위[[제품코드]:[우선순위]],4,0)</f>
        <v>3</v>
      </c>
      <c r="M647" s="10" t="str">
        <f>_xlfn.TEXTJOIN(CHAR(10), TRUE, ,Merge1[[#This Row],[제품명]],Merge1[[#This Row],[오더번호]],Merge1[[#This Row],[제조번호]],Merge1[[#This Row],[지시수량]])</f>
        <v>다파릴듀오서방정10/1000mg 반제품
1015616
A002961
200000</v>
      </c>
    </row>
    <row r="648" spans="1:13" ht="67.5" x14ac:dyDescent="0.25">
      <c r="A648" t="s">
        <v>438</v>
      </c>
      <c r="B648" t="s">
        <v>468</v>
      </c>
      <c r="C648" t="s">
        <v>474</v>
      </c>
      <c r="D648" t="s">
        <v>90</v>
      </c>
      <c r="E648" t="s">
        <v>91</v>
      </c>
      <c r="F648" t="s">
        <v>475</v>
      </c>
      <c r="G648">
        <v>110</v>
      </c>
      <c r="H648" t="s">
        <v>6</v>
      </c>
      <c r="I648" t="s">
        <v>455</v>
      </c>
      <c r="J648">
        <v>200000</v>
      </c>
      <c r="K648">
        <v>12</v>
      </c>
      <c r="L648">
        <f>VLOOKUP(Merge1[[#This Row],[제품코드]],공정중_우선순위[[제품코드]:[우선순위]],4,0)</f>
        <v>3</v>
      </c>
      <c r="M648" s="10" t="str">
        <f>_xlfn.TEXTJOIN(CHAR(10), TRUE, ,Merge1[[#This Row],[제품명]],Merge1[[#This Row],[오더번호]],Merge1[[#This Row],[제조번호]],Merge1[[#This Row],[지시수량]])</f>
        <v>다파릴듀오서방정10/1000mg 반제품
1015622
A002965
200000</v>
      </c>
    </row>
    <row r="649" spans="1:13" ht="67.5" x14ac:dyDescent="0.25">
      <c r="A649" t="s">
        <v>438</v>
      </c>
      <c r="B649" t="s">
        <v>468</v>
      </c>
      <c r="C649" t="s">
        <v>469</v>
      </c>
      <c r="D649" t="s">
        <v>90</v>
      </c>
      <c r="E649" t="s">
        <v>91</v>
      </c>
      <c r="F649" t="s">
        <v>470</v>
      </c>
      <c r="G649">
        <v>110</v>
      </c>
      <c r="H649" t="s">
        <v>6</v>
      </c>
      <c r="I649" t="s">
        <v>455</v>
      </c>
      <c r="J649">
        <v>200000</v>
      </c>
      <c r="K649">
        <v>12</v>
      </c>
      <c r="L649">
        <f>VLOOKUP(Merge1[[#This Row],[제품코드]],공정중_우선순위[[제품코드]:[우선순위]],4,0)</f>
        <v>3</v>
      </c>
      <c r="M649" s="10" t="str">
        <f>_xlfn.TEXTJOIN(CHAR(10), TRUE, ,Merge1[[#This Row],[제품명]],Merge1[[#This Row],[오더번호]],Merge1[[#This Row],[제조번호]],Merge1[[#This Row],[지시수량]])</f>
        <v>다파릴듀오서방정10/1000mg 반제품
1015647
A002967
200000</v>
      </c>
    </row>
    <row r="650" spans="1:13" ht="67.5" x14ac:dyDescent="0.25">
      <c r="A650" t="s">
        <v>438</v>
      </c>
      <c r="B650" t="s">
        <v>477</v>
      </c>
      <c r="C650" t="s">
        <v>484</v>
      </c>
      <c r="D650" t="s">
        <v>100</v>
      </c>
      <c r="E650" t="s">
        <v>101</v>
      </c>
      <c r="F650" t="s">
        <v>485</v>
      </c>
      <c r="G650">
        <v>60</v>
      </c>
      <c r="H650" t="s">
        <v>5</v>
      </c>
      <c r="I650" t="s">
        <v>473</v>
      </c>
      <c r="J650">
        <v>300000</v>
      </c>
      <c r="K650">
        <v>18</v>
      </c>
      <c r="L650">
        <f>VLOOKUP(Merge1[[#This Row],[제품코드]],공정중_우선순위[[제품코드]:[우선순위]],4,0)</f>
        <v>4</v>
      </c>
      <c r="M650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51" spans="1:13" ht="67.5" x14ac:dyDescent="0.25">
      <c r="A651" t="s">
        <v>438</v>
      </c>
      <c r="B651" t="s">
        <v>477</v>
      </c>
      <c r="C651" t="s">
        <v>486</v>
      </c>
      <c r="D651" t="s">
        <v>100</v>
      </c>
      <c r="E651" t="s">
        <v>101</v>
      </c>
      <c r="F651" t="s">
        <v>487</v>
      </c>
      <c r="G651">
        <v>60</v>
      </c>
      <c r="H651" t="s">
        <v>5</v>
      </c>
      <c r="I651" t="s">
        <v>473</v>
      </c>
      <c r="J651">
        <v>300000</v>
      </c>
      <c r="K651">
        <v>18</v>
      </c>
      <c r="L651">
        <f>VLOOKUP(Merge1[[#This Row],[제품코드]],공정중_우선순위[[제품코드]:[우선순위]],4,0)</f>
        <v>4</v>
      </c>
      <c r="M651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52" spans="1:13" ht="67.5" x14ac:dyDescent="0.25">
      <c r="A652" t="s">
        <v>438</v>
      </c>
      <c r="B652" t="s">
        <v>477</v>
      </c>
      <c r="C652" t="s">
        <v>484</v>
      </c>
      <c r="D652" t="s">
        <v>100</v>
      </c>
      <c r="E652" t="s">
        <v>101</v>
      </c>
      <c r="F652" t="s">
        <v>485</v>
      </c>
      <c r="G652">
        <v>60</v>
      </c>
      <c r="H652" t="s">
        <v>5</v>
      </c>
      <c r="I652" t="s">
        <v>473</v>
      </c>
      <c r="J652">
        <v>300000</v>
      </c>
      <c r="K652">
        <v>15</v>
      </c>
      <c r="L652">
        <f>VLOOKUP(Merge1[[#This Row],[제품코드]],공정중_우선순위[[제품코드]:[우선순위]],4,0)</f>
        <v>4</v>
      </c>
      <c r="M652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53" spans="1:13" ht="67.5" x14ac:dyDescent="0.25">
      <c r="A653" t="s">
        <v>438</v>
      </c>
      <c r="B653" t="s">
        <v>477</v>
      </c>
      <c r="C653" t="s">
        <v>486</v>
      </c>
      <c r="D653" t="s">
        <v>100</v>
      </c>
      <c r="E653" t="s">
        <v>101</v>
      </c>
      <c r="F653" t="s">
        <v>487</v>
      </c>
      <c r="G653">
        <v>60</v>
      </c>
      <c r="H653" t="s">
        <v>5</v>
      </c>
      <c r="I653" t="s">
        <v>473</v>
      </c>
      <c r="J653">
        <v>300000</v>
      </c>
      <c r="K653">
        <v>15</v>
      </c>
      <c r="L653">
        <f>VLOOKUP(Merge1[[#This Row],[제품코드]],공정중_우선순위[[제품코드]:[우선순위]],4,0)</f>
        <v>4</v>
      </c>
      <c r="M653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54" spans="1:13" ht="67.5" x14ac:dyDescent="0.25">
      <c r="A654" t="s">
        <v>438</v>
      </c>
      <c r="B654" t="s">
        <v>477</v>
      </c>
      <c r="C654" t="s">
        <v>484</v>
      </c>
      <c r="D654" t="s">
        <v>100</v>
      </c>
      <c r="E654" t="s">
        <v>101</v>
      </c>
      <c r="F654" t="s">
        <v>485</v>
      </c>
      <c r="G654">
        <v>80</v>
      </c>
      <c r="H654" t="s">
        <v>9</v>
      </c>
      <c r="I654" t="s">
        <v>476</v>
      </c>
      <c r="J654">
        <v>300000</v>
      </c>
      <c r="K654">
        <v>10</v>
      </c>
      <c r="L654">
        <f>VLOOKUP(Merge1[[#This Row],[제품코드]],공정중_우선순위[[제품코드]:[우선순위]],4,0)</f>
        <v>4</v>
      </c>
      <c r="M654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55" spans="1:13" ht="67.5" x14ac:dyDescent="0.25">
      <c r="A655" t="s">
        <v>438</v>
      </c>
      <c r="B655" t="s">
        <v>477</v>
      </c>
      <c r="C655" t="s">
        <v>486</v>
      </c>
      <c r="D655" t="s">
        <v>100</v>
      </c>
      <c r="E655" t="s">
        <v>101</v>
      </c>
      <c r="F655" t="s">
        <v>487</v>
      </c>
      <c r="G655">
        <v>80</v>
      </c>
      <c r="H655" t="s">
        <v>9</v>
      </c>
      <c r="I655" t="s">
        <v>476</v>
      </c>
      <c r="J655">
        <v>300000</v>
      </c>
      <c r="K655">
        <v>10</v>
      </c>
      <c r="L655">
        <f>VLOOKUP(Merge1[[#This Row],[제품코드]],공정중_우선순위[[제품코드]:[우선순위]],4,0)</f>
        <v>4</v>
      </c>
      <c r="M655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56" spans="1:13" ht="67.5" x14ac:dyDescent="0.25">
      <c r="A656" t="s">
        <v>438</v>
      </c>
      <c r="B656" t="s">
        <v>477</v>
      </c>
      <c r="C656" t="s">
        <v>484</v>
      </c>
      <c r="D656" t="s">
        <v>100</v>
      </c>
      <c r="E656" t="s">
        <v>101</v>
      </c>
      <c r="F656" t="s">
        <v>485</v>
      </c>
      <c r="G656">
        <v>80</v>
      </c>
      <c r="H656" t="s">
        <v>9</v>
      </c>
      <c r="I656" t="s">
        <v>476</v>
      </c>
      <c r="J656">
        <v>300000</v>
      </c>
      <c r="K656">
        <v>10</v>
      </c>
      <c r="L656">
        <f>VLOOKUP(Merge1[[#This Row],[제품코드]],공정중_우선순위[[제품코드]:[우선순위]],4,0)</f>
        <v>4</v>
      </c>
      <c r="M656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57" spans="1:13" ht="67.5" x14ac:dyDescent="0.25">
      <c r="A657" t="s">
        <v>438</v>
      </c>
      <c r="B657" t="s">
        <v>477</v>
      </c>
      <c r="C657" t="s">
        <v>486</v>
      </c>
      <c r="D657" t="s">
        <v>100</v>
      </c>
      <c r="E657" t="s">
        <v>101</v>
      </c>
      <c r="F657" t="s">
        <v>487</v>
      </c>
      <c r="G657">
        <v>80</v>
      </c>
      <c r="H657" t="s">
        <v>9</v>
      </c>
      <c r="I657" t="s">
        <v>476</v>
      </c>
      <c r="J657">
        <v>300000</v>
      </c>
      <c r="K657">
        <v>10</v>
      </c>
      <c r="L657">
        <f>VLOOKUP(Merge1[[#This Row],[제품코드]],공정중_우선순위[[제품코드]:[우선순위]],4,0)</f>
        <v>4</v>
      </c>
      <c r="M657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58" spans="1:13" ht="67.5" x14ac:dyDescent="0.25">
      <c r="A658" t="s">
        <v>438</v>
      </c>
      <c r="B658" t="s">
        <v>477</v>
      </c>
      <c r="C658" t="s">
        <v>484</v>
      </c>
      <c r="D658" t="s">
        <v>100</v>
      </c>
      <c r="E658" t="s">
        <v>101</v>
      </c>
      <c r="F658" t="s">
        <v>485</v>
      </c>
      <c r="G658">
        <v>110</v>
      </c>
      <c r="H658" t="s">
        <v>6</v>
      </c>
      <c r="I658" t="s">
        <v>455</v>
      </c>
      <c r="J658">
        <v>300000</v>
      </c>
      <c r="K658">
        <v>15</v>
      </c>
      <c r="L658">
        <f>VLOOKUP(Merge1[[#This Row],[제품코드]],공정중_우선순위[[제품코드]:[우선순위]],4,0)</f>
        <v>4</v>
      </c>
      <c r="M658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59" spans="1:13" ht="67.5" x14ac:dyDescent="0.25">
      <c r="A659" t="s">
        <v>438</v>
      </c>
      <c r="B659" t="s">
        <v>477</v>
      </c>
      <c r="C659" t="s">
        <v>486</v>
      </c>
      <c r="D659" t="s">
        <v>100</v>
      </c>
      <c r="E659" t="s">
        <v>101</v>
      </c>
      <c r="F659" t="s">
        <v>487</v>
      </c>
      <c r="G659">
        <v>110</v>
      </c>
      <c r="H659" t="s">
        <v>6</v>
      </c>
      <c r="I659" t="s">
        <v>455</v>
      </c>
      <c r="J659">
        <v>300000</v>
      </c>
      <c r="K659">
        <v>15</v>
      </c>
      <c r="L659">
        <f>VLOOKUP(Merge1[[#This Row],[제품코드]],공정중_우선순위[[제품코드]:[우선순위]],4,0)</f>
        <v>4</v>
      </c>
      <c r="M659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60" spans="1:13" ht="67.5" x14ac:dyDescent="0.25">
      <c r="A660" t="s">
        <v>438</v>
      </c>
      <c r="B660" t="s">
        <v>477</v>
      </c>
      <c r="C660" t="s">
        <v>484</v>
      </c>
      <c r="D660" t="s">
        <v>100</v>
      </c>
      <c r="E660" t="s">
        <v>101</v>
      </c>
      <c r="F660" t="s">
        <v>485</v>
      </c>
      <c r="G660">
        <v>110</v>
      </c>
      <c r="H660" t="s">
        <v>6</v>
      </c>
      <c r="I660" t="s">
        <v>455</v>
      </c>
      <c r="J660">
        <v>300000</v>
      </c>
      <c r="K660">
        <v>11</v>
      </c>
      <c r="L660">
        <f>VLOOKUP(Merge1[[#This Row],[제품코드]],공정중_우선순위[[제품코드]:[우선순위]],4,0)</f>
        <v>4</v>
      </c>
      <c r="M660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61" spans="1:13" ht="67.5" x14ac:dyDescent="0.25">
      <c r="A661" t="s">
        <v>438</v>
      </c>
      <c r="B661" t="s">
        <v>477</v>
      </c>
      <c r="C661" t="s">
        <v>486</v>
      </c>
      <c r="D661" t="s">
        <v>100</v>
      </c>
      <c r="E661" t="s">
        <v>101</v>
      </c>
      <c r="F661" t="s">
        <v>487</v>
      </c>
      <c r="G661">
        <v>110</v>
      </c>
      <c r="H661" t="s">
        <v>6</v>
      </c>
      <c r="I661" t="s">
        <v>455</v>
      </c>
      <c r="J661">
        <v>300000</v>
      </c>
      <c r="K661">
        <v>11</v>
      </c>
      <c r="L661">
        <f>VLOOKUP(Merge1[[#This Row],[제품코드]],공정중_우선순위[[제품코드]:[우선순위]],4,0)</f>
        <v>4</v>
      </c>
      <c r="M661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62" spans="1:13" ht="67.5" x14ac:dyDescent="0.25">
      <c r="A662" t="s">
        <v>438</v>
      </c>
      <c r="B662" t="s">
        <v>477</v>
      </c>
      <c r="C662" t="s">
        <v>484</v>
      </c>
      <c r="D662" t="s">
        <v>100</v>
      </c>
      <c r="E662" t="s">
        <v>101</v>
      </c>
      <c r="F662" t="s">
        <v>485</v>
      </c>
      <c r="G662">
        <v>60</v>
      </c>
      <c r="H662" t="s">
        <v>5</v>
      </c>
      <c r="I662" t="s">
        <v>473</v>
      </c>
      <c r="J662">
        <v>300000</v>
      </c>
      <c r="K662">
        <v>18</v>
      </c>
      <c r="L662">
        <f>VLOOKUP(Merge1[[#This Row],[제품코드]],공정중_우선순위[[제품코드]:[우선순위]],4,0)</f>
        <v>4</v>
      </c>
      <c r="M662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63" spans="1:13" ht="67.5" x14ac:dyDescent="0.25">
      <c r="A663" t="s">
        <v>438</v>
      </c>
      <c r="B663" t="s">
        <v>477</v>
      </c>
      <c r="C663" t="s">
        <v>486</v>
      </c>
      <c r="D663" t="s">
        <v>100</v>
      </c>
      <c r="E663" t="s">
        <v>101</v>
      </c>
      <c r="F663" t="s">
        <v>487</v>
      </c>
      <c r="G663">
        <v>60</v>
      </c>
      <c r="H663" t="s">
        <v>5</v>
      </c>
      <c r="I663" t="s">
        <v>473</v>
      </c>
      <c r="J663">
        <v>300000</v>
      </c>
      <c r="K663">
        <v>18</v>
      </c>
      <c r="L663">
        <f>VLOOKUP(Merge1[[#This Row],[제품코드]],공정중_우선순위[[제품코드]:[우선순위]],4,0)</f>
        <v>4</v>
      </c>
      <c r="M663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64" spans="1:13" ht="67.5" x14ac:dyDescent="0.25">
      <c r="A664" t="s">
        <v>438</v>
      </c>
      <c r="B664" t="s">
        <v>477</v>
      </c>
      <c r="C664" t="s">
        <v>484</v>
      </c>
      <c r="D664" t="s">
        <v>100</v>
      </c>
      <c r="E664" t="s">
        <v>101</v>
      </c>
      <c r="F664" t="s">
        <v>485</v>
      </c>
      <c r="G664">
        <v>60</v>
      </c>
      <c r="H664" t="s">
        <v>5</v>
      </c>
      <c r="I664" t="s">
        <v>473</v>
      </c>
      <c r="J664">
        <v>300000</v>
      </c>
      <c r="K664">
        <v>15</v>
      </c>
      <c r="L664">
        <f>VLOOKUP(Merge1[[#This Row],[제품코드]],공정중_우선순위[[제품코드]:[우선순위]],4,0)</f>
        <v>4</v>
      </c>
      <c r="M664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65" spans="1:13" ht="67.5" x14ac:dyDescent="0.25">
      <c r="A665" t="s">
        <v>438</v>
      </c>
      <c r="B665" t="s">
        <v>477</v>
      </c>
      <c r="C665" t="s">
        <v>486</v>
      </c>
      <c r="D665" t="s">
        <v>100</v>
      </c>
      <c r="E665" t="s">
        <v>101</v>
      </c>
      <c r="F665" t="s">
        <v>487</v>
      </c>
      <c r="G665">
        <v>60</v>
      </c>
      <c r="H665" t="s">
        <v>5</v>
      </c>
      <c r="I665" t="s">
        <v>473</v>
      </c>
      <c r="J665">
        <v>300000</v>
      </c>
      <c r="K665">
        <v>15</v>
      </c>
      <c r="L665">
        <f>VLOOKUP(Merge1[[#This Row],[제품코드]],공정중_우선순위[[제품코드]:[우선순위]],4,0)</f>
        <v>4</v>
      </c>
      <c r="M665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66" spans="1:13" ht="67.5" x14ac:dyDescent="0.25">
      <c r="A666" t="s">
        <v>438</v>
      </c>
      <c r="B666" t="s">
        <v>477</v>
      </c>
      <c r="C666" t="s">
        <v>484</v>
      </c>
      <c r="D666" t="s">
        <v>100</v>
      </c>
      <c r="E666" t="s">
        <v>101</v>
      </c>
      <c r="F666" t="s">
        <v>485</v>
      </c>
      <c r="G666">
        <v>80</v>
      </c>
      <c r="H666" t="s">
        <v>9</v>
      </c>
      <c r="I666" t="s">
        <v>476</v>
      </c>
      <c r="J666">
        <v>300000</v>
      </c>
      <c r="K666">
        <v>11</v>
      </c>
      <c r="L666">
        <f>VLOOKUP(Merge1[[#This Row],[제품코드]],공정중_우선순위[[제품코드]:[우선순위]],4,0)</f>
        <v>4</v>
      </c>
      <c r="M666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67" spans="1:13" ht="67.5" x14ac:dyDescent="0.25">
      <c r="A667" t="s">
        <v>438</v>
      </c>
      <c r="B667" t="s">
        <v>477</v>
      </c>
      <c r="C667" t="s">
        <v>486</v>
      </c>
      <c r="D667" t="s">
        <v>100</v>
      </c>
      <c r="E667" t="s">
        <v>101</v>
      </c>
      <c r="F667" t="s">
        <v>487</v>
      </c>
      <c r="G667">
        <v>80</v>
      </c>
      <c r="H667" t="s">
        <v>9</v>
      </c>
      <c r="I667" t="s">
        <v>476</v>
      </c>
      <c r="J667">
        <v>300000</v>
      </c>
      <c r="K667">
        <v>11</v>
      </c>
      <c r="L667">
        <f>VLOOKUP(Merge1[[#This Row],[제품코드]],공정중_우선순위[[제품코드]:[우선순위]],4,0)</f>
        <v>4</v>
      </c>
      <c r="M667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68" spans="1:13" ht="67.5" x14ac:dyDescent="0.25">
      <c r="A668" t="s">
        <v>438</v>
      </c>
      <c r="B668" t="s">
        <v>477</v>
      </c>
      <c r="C668" t="s">
        <v>484</v>
      </c>
      <c r="D668" t="s">
        <v>100</v>
      </c>
      <c r="E668" t="s">
        <v>101</v>
      </c>
      <c r="F668" t="s">
        <v>485</v>
      </c>
      <c r="G668">
        <v>80</v>
      </c>
      <c r="H668" t="s">
        <v>9</v>
      </c>
      <c r="I668" t="s">
        <v>476</v>
      </c>
      <c r="J668">
        <v>300000</v>
      </c>
      <c r="K668">
        <v>11</v>
      </c>
      <c r="L668">
        <f>VLOOKUP(Merge1[[#This Row],[제품코드]],공정중_우선순위[[제품코드]:[우선순위]],4,0)</f>
        <v>4</v>
      </c>
      <c r="M668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69" spans="1:13" ht="67.5" x14ac:dyDescent="0.25">
      <c r="A669" t="s">
        <v>438</v>
      </c>
      <c r="B669" t="s">
        <v>477</v>
      </c>
      <c r="C669" t="s">
        <v>486</v>
      </c>
      <c r="D669" t="s">
        <v>100</v>
      </c>
      <c r="E669" t="s">
        <v>101</v>
      </c>
      <c r="F669" t="s">
        <v>487</v>
      </c>
      <c r="G669">
        <v>80</v>
      </c>
      <c r="H669" t="s">
        <v>9</v>
      </c>
      <c r="I669" t="s">
        <v>476</v>
      </c>
      <c r="J669">
        <v>300000</v>
      </c>
      <c r="K669">
        <v>11</v>
      </c>
      <c r="L669">
        <f>VLOOKUP(Merge1[[#This Row],[제품코드]],공정중_우선순위[[제품코드]:[우선순위]],4,0)</f>
        <v>4</v>
      </c>
      <c r="M669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70" spans="1:13" ht="67.5" x14ac:dyDescent="0.25">
      <c r="A670" t="s">
        <v>438</v>
      </c>
      <c r="B670" t="s">
        <v>477</v>
      </c>
      <c r="C670" t="s">
        <v>484</v>
      </c>
      <c r="D670" t="s">
        <v>100</v>
      </c>
      <c r="E670" t="s">
        <v>101</v>
      </c>
      <c r="F670" t="s">
        <v>485</v>
      </c>
      <c r="G670">
        <v>110</v>
      </c>
      <c r="H670" t="s">
        <v>6</v>
      </c>
      <c r="I670" t="s">
        <v>455</v>
      </c>
      <c r="J670">
        <v>300000</v>
      </c>
      <c r="K670">
        <v>15</v>
      </c>
      <c r="L670">
        <f>VLOOKUP(Merge1[[#This Row],[제품코드]],공정중_우선순위[[제품코드]:[우선순위]],4,0)</f>
        <v>4</v>
      </c>
      <c r="M670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71" spans="1:13" ht="67.5" x14ac:dyDescent="0.25">
      <c r="A671" t="s">
        <v>438</v>
      </c>
      <c r="B671" t="s">
        <v>477</v>
      </c>
      <c r="C671" t="s">
        <v>486</v>
      </c>
      <c r="D671" t="s">
        <v>100</v>
      </c>
      <c r="E671" t="s">
        <v>101</v>
      </c>
      <c r="F671" t="s">
        <v>487</v>
      </c>
      <c r="G671">
        <v>110</v>
      </c>
      <c r="H671" t="s">
        <v>6</v>
      </c>
      <c r="I671" t="s">
        <v>455</v>
      </c>
      <c r="J671">
        <v>300000</v>
      </c>
      <c r="K671">
        <v>15</v>
      </c>
      <c r="L671">
        <f>VLOOKUP(Merge1[[#This Row],[제품코드]],공정중_우선순위[[제품코드]:[우선순위]],4,0)</f>
        <v>4</v>
      </c>
      <c r="M671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72" spans="1:13" ht="67.5" x14ac:dyDescent="0.25">
      <c r="A672" t="s">
        <v>438</v>
      </c>
      <c r="B672" t="s">
        <v>477</v>
      </c>
      <c r="C672" t="s">
        <v>484</v>
      </c>
      <c r="D672" t="s">
        <v>100</v>
      </c>
      <c r="E672" t="s">
        <v>101</v>
      </c>
      <c r="F672" t="s">
        <v>485</v>
      </c>
      <c r="G672">
        <v>110</v>
      </c>
      <c r="H672" t="s">
        <v>6</v>
      </c>
      <c r="I672" t="s">
        <v>455</v>
      </c>
      <c r="J672">
        <v>300000</v>
      </c>
      <c r="K672">
        <v>11</v>
      </c>
      <c r="L672">
        <f>VLOOKUP(Merge1[[#This Row],[제품코드]],공정중_우선순위[[제품코드]:[우선순위]],4,0)</f>
        <v>4</v>
      </c>
      <c r="M672" s="10" t="str">
        <f>_xlfn.TEXTJOIN(CHAR(10), TRUE, ,Merge1[[#This Row],[제품명]],Merge1[[#This Row],[오더번호]],Merge1[[#This Row],[제조번호]],Merge1[[#This Row],[지시수량]])</f>
        <v>폴민다파서방정10/500mg 반제품 (녹십자)
1015671
1162019
300000</v>
      </c>
    </row>
    <row r="673" spans="1:13" ht="67.5" x14ac:dyDescent="0.25">
      <c r="A673" t="s">
        <v>438</v>
      </c>
      <c r="B673" t="s">
        <v>477</v>
      </c>
      <c r="C673" t="s">
        <v>486</v>
      </c>
      <c r="D673" t="s">
        <v>100</v>
      </c>
      <c r="E673" t="s">
        <v>101</v>
      </c>
      <c r="F673" t="s">
        <v>487</v>
      </c>
      <c r="G673">
        <v>110</v>
      </c>
      <c r="H673" t="s">
        <v>6</v>
      </c>
      <c r="I673" t="s">
        <v>455</v>
      </c>
      <c r="J673">
        <v>300000</v>
      </c>
      <c r="K673">
        <v>11</v>
      </c>
      <c r="L673">
        <f>VLOOKUP(Merge1[[#This Row],[제품코드]],공정중_우선순위[[제품코드]:[우선순위]],4,0)</f>
        <v>4</v>
      </c>
      <c r="M673" s="10" t="str">
        <f>_xlfn.TEXTJOIN(CHAR(10), TRUE, ,Merge1[[#This Row],[제품명]],Merge1[[#This Row],[오더번호]],Merge1[[#This Row],[제조번호]],Merge1[[#This Row],[지시수량]])</f>
        <v>폴민다파서방정10/500mg 반제품 (녹십자)
1015672
1162020
300000</v>
      </c>
    </row>
    <row r="674" spans="1:13" ht="54" x14ac:dyDescent="0.25">
      <c r="A674" t="s">
        <v>438</v>
      </c>
      <c r="B674" t="s">
        <v>439</v>
      </c>
      <c r="C674" t="s">
        <v>440</v>
      </c>
      <c r="D674" t="s">
        <v>86</v>
      </c>
      <c r="E674" t="s">
        <v>87</v>
      </c>
      <c r="F674" t="s">
        <v>441</v>
      </c>
      <c r="G674">
        <v>20</v>
      </c>
      <c r="H674" t="s">
        <v>3</v>
      </c>
      <c r="I674" t="s">
        <v>442</v>
      </c>
      <c r="J674">
        <v>600000</v>
      </c>
      <c r="K674">
        <v>12</v>
      </c>
      <c r="L674">
        <f>VLOOKUP(Merge1[[#This Row],[제품코드]],공정중_우선순위[[제품코드]:[우선순위]],4,0)</f>
        <v>5</v>
      </c>
      <c r="M674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675" spans="1:13" ht="54" x14ac:dyDescent="0.25">
      <c r="A675" t="s">
        <v>438</v>
      </c>
      <c r="B675" t="s">
        <v>439</v>
      </c>
      <c r="C675" t="s">
        <v>443</v>
      </c>
      <c r="D675" t="s">
        <v>86</v>
      </c>
      <c r="E675" t="s">
        <v>87</v>
      </c>
      <c r="F675" t="s">
        <v>444</v>
      </c>
      <c r="G675">
        <v>20</v>
      </c>
      <c r="H675" t="s">
        <v>3</v>
      </c>
      <c r="I675" t="s">
        <v>442</v>
      </c>
      <c r="J675">
        <v>600000</v>
      </c>
      <c r="K675">
        <v>12</v>
      </c>
      <c r="L675">
        <f>VLOOKUP(Merge1[[#This Row],[제품코드]],공정중_우선순위[[제품코드]:[우선순위]],4,0)</f>
        <v>5</v>
      </c>
      <c r="M675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676" spans="1:13" ht="54" x14ac:dyDescent="0.25">
      <c r="A676" t="s">
        <v>438</v>
      </c>
      <c r="B676" t="s">
        <v>439</v>
      </c>
      <c r="C676" t="s">
        <v>445</v>
      </c>
      <c r="D676" t="s">
        <v>86</v>
      </c>
      <c r="E676" t="s">
        <v>87</v>
      </c>
      <c r="F676" t="s">
        <v>446</v>
      </c>
      <c r="G676">
        <v>20</v>
      </c>
      <c r="H676" t="s">
        <v>3</v>
      </c>
      <c r="I676" t="s">
        <v>442</v>
      </c>
      <c r="J676">
        <v>600000</v>
      </c>
      <c r="K676">
        <v>12</v>
      </c>
      <c r="L676">
        <f>VLOOKUP(Merge1[[#This Row],[제품코드]],공정중_우선순위[[제품코드]:[우선순위]],4,0)</f>
        <v>5</v>
      </c>
      <c r="M676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677" spans="1:13" ht="54" x14ac:dyDescent="0.25">
      <c r="A677" t="s">
        <v>438</v>
      </c>
      <c r="B677" t="s">
        <v>439</v>
      </c>
      <c r="C677" t="s">
        <v>447</v>
      </c>
      <c r="D677" t="s">
        <v>86</v>
      </c>
      <c r="E677" t="s">
        <v>87</v>
      </c>
      <c r="F677" t="s">
        <v>448</v>
      </c>
      <c r="G677">
        <v>20</v>
      </c>
      <c r="H677" t="s">
        <v>3</v>
      </c>
      <c r="I677" t="s">
        <v>442</v>
      </c>
      <c r="J677">
        <v>600000</v>
      </c>
      <c r="K677">
        <v>12</v>
      </c>
      <c r="L677">
        <f>VLOOKUP(Merge1[[#This Row],[제품코드]],공정중_우선순위[[제품코드]:[우선순위]],4,0)</f>
        <v>5</v>
      </c>
      <c r="M677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678" spans="1:13" ht="54" x14ac:dyDescent="0.25">
      <c r="A678" t="s">
        <v>438</v>
      </c>
      <c r="B678" t="s">
        <v>439</v>
      </c>
      <c r="C678" t="s">
        <v>440</v>
      </c>
      <c r="D678" t="s">
        <v>86</v>
      </c>
      <c r="E678" t="s">
        <v>87</v>
      </c>
      <c r="F678" t="s">
        <v>441</v>
      </c>
      <c r="G678">
        <v>20</v>
      </c>
      <c r="H678" t="s">
        <v>3</v>
      </c>
      <c r="I678" t="s">
        <v>442</v>
      </c>
      <c r="J678">
        <v>600000</v>
      </c>
      <c r="K678">
        <v>12</v>
      </c>
      <c r="L678">
        <f>VLOOKUP(Merge1[[#This Row],[제품코드]],공정중_우선순위[[제품코드]:[우선순위]],4,0)</f>
        <v>5</v>
      </c>
      <c r="M678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679" spans="1:13" ht="54" x14ac:dyDescent="0.25">
      <c r="A679" t="s">
        <v>438</v>
      </c>
      <c r="B679" t="s">
        <v>439</v>
      </c>
      <c r="C679" t="s">
        <v>443</v>
      </c>
      <c r="D679" t="s">
        <v>86</v>
      </c>
      <c r="E679" t="s">
        <v>87</v>
      </c>
      <c r="F679" t="s">
        <v>444</v>
      </c>
      <c r="G679">
        <v>20</v>
      </c>
      <c r="H679" t="s">
        <v>3</v>
      </c>
      <c r="I679" t="s">
        <v>442</v>
      </c>
      <c r="J679">
        <v>600000</v>
      </c>
      <c r="K679">
        <v>12</v>
      </c>
      <c r="L679">
        <f>VLOOKUP(Merge1[[#This Row],[제품코드]],공정중_우선순위[[제품코드]:[우선순위]],4,0)</f>
        <v>5</v>
      </c>
      <c r="M679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680" spans="1:13" ht="54" x14ac:dyDescent="0.25">
      <c r="A680" t="s">
        <v>438</v>
      </c>
      <c r="B680" t="s">
        <v>439</v>
      </c>
      <c r="C680" t="s">
        <v>445</v>
      </c>
      <c r="D680" t="s">
        <v>86</v>
      </c>
      <c r="E680" t="s">
        <v>87</v>
      </c>
      <c r="F680" t="s">
        <v>446</v>
      </c>
      <c r="G680">
        <v>20</v>
      </c>
      <c r="H680" t="s">
        <v>3</v>
      </c>
      <c r="I680" t="s">
        <v>442</v>
      </c>
      <c r="J680">
        <v>600000</v>
      </c>
      <c r="K680">
        <v>12</v>
      </c>
      <c r="L680">
        <f>VLOOKUP(Merge1[[#This Row],[제품코드]],공정중_우선순위[[제품코드]:[우선순위]],4,0)</f>
        <v>5</v>
      </c>
      <c r="M680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681" spans="1:13" ht="54" x14ac:dyDescent="0.25">
      <c r="A681" t="s">
        <v>438</v>
      </c>
      <c r="B681" t="s">
        <v>439</v>
      </c>
      <c r="C681" t="s">
        <v>447</v>
      </c>
      <c r="D681" t="s">
        <v>86</v>
      </c>
      <c r="E681" t="s">
        <v>87</v>
      </c>
      <c r="F681" t="s">
        <v>448</v>
      </c>
      <c r="G681">
        <v>20</v>
      </c>
      <c r="H681" t="s">
        <v>3</v>
      </c>
      <c r="I681" t="s">
        <v>442</v>
      </c>
      <c r="J681">
        <v>600000</v>
      </c>
      <c r="K681">
        <v>12</v>
      </c>
      <c r="L681">
        <f>VLOOKUP(Merge1[[#This Row],[제품코드]],공정중_우선순위[[제품코드]:[우선순위]],4,0)</f>
        <v>5</v>
      </c>
      <c r="M681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682" spans="1:13" ht="54" x14ac:dyDescent="0.25">
      <c r="A682" t="s">
        <v>438</v>
      </c>
      <c r="B682" t="s">
        <v>439</v>
      </c>
      <c r="C682" t="s">
        <v>440</v>
      </c>
      <c r="D682" t="s">
        <v>86</v>
      </c>
      <c r="E682" t="s">
        <v>87</v>
      </c>
      <c r="F682" t="s">
        <v>441</v>
      </c>
      <c r="G682">
        <v>50</v>
      </c>
      <c r="H682" t="s">
        <v>4</v>
      </c>
      <c r="I682" t="s">
        <v>449</v>
      </c>
      <c r="J682">
        <v>600000</v>
      </c>
      <c r="K682">
        <v>4</v>
      </c>
      <c r="L682">
        <f>VLOOKUP(Merge1[[#This Row],[제품코드]],공정중_우선순위[[제품코드]:[우선순위]],4,0)</f>
        <v>5</v>
      </c>
      <c r="M682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683" spans="1:13" ht="54" x14ac:dyDescent="0.25">
      <c r="A683" t="s">
        <v>438</v>
      </c>
      <c r="B683" t="s">
        <v>439</v>
      </c>
      <c r="C683" t="s">
        <v>443</v>
      </c>
      <c r="D683" t="s">
        <v>86</v>
      </c>
      <c r="E683" t="s">
        <v>87</v>
      </c>
      <c r="F683" t="s">
        <v>444</v>
      </c>
      <c r="G683">
        <v>50</v>
      </c>
      <c r="H683" t="s">
        <v>4</v>
      </c>
      <c r="I683" t="s">
        <v>449</v>
      </c>
      <c r="J683">
        <v>600000</v>
      </c>
      <c r="K683">
        <v>4</v>
      </c>
      <c r="L683">
        <f>VLOOKUP(Merge1[[#This Row],[제품코드]],공정중_우선순위[[제품코드]:[우선순위]],4,0)</f>
        <v>5</v>
      </c>
      <c r="M683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684" spans="1:13" ht="54" x14ac:dyDescent="0.25">
      <c r="A684" t="s">
        <v>438</v>
      </c>
      <c r="B684" t="s">
        <v>439</v>
      </c>
      <c r="C684" t="s">
        <v>445</v>
      </c>
      <c r="D684" t="s">
        <v>86</v>
      </c>
      <c r="E684" t="s">
        <v>87</v>
      </c>
      <c r="F684" t="s">
        <v>446</v>
      </c>
      <c r="G684">
        <v>50</v>
      </c>
      <c r="H684" t="s">
        <v>4</v>
      </c>
      <c r="I684" t="s">
        <v>449</v>
      </c>
      <c r="J684">
        <v>600000</v>
      </c>
      <c r="K684">
        <v>4</v>
      </c>
      <c r="L684">
        <f>VLOOKUP(Merge1[[#This Row],[제품코드]],공정중_우선순위[[제품코드]:[우선순위]],4,0)</f>
        <v>5</v>
      </c>
      <c r="M684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685" spans="1:13" ht="54" x14ac:dyDescent="0.25">
      <c r="A685" t="s">
        <v>438</v>
      </c>
      <c r="B685" t="s">
        <v>439</v>
      </c>
      <c r="C685" t="s">
        <v>447</v>
      </c>
      <c r="D685" t="s">
        <v>86</v>
      </c>
      <c r="E685" t="s">
        <v>87</v>
      </c>
      <c r="F685" t="s">
        <v>448</v>
      </c>
      <c r="G685">
        <v>50</v>
      </c>
      <c r="H685" t="s">
        <v>4</v>
      </c>
      <c r="I685" t="s">
        <v>449</v>
      </c>
      <c r="J685">
        <v>600000</v>
      </c>
      <c r="K685">
        <v>4</v>
      </c>
      <c r="L685">
        <f>VLOOKUP(Merge1[[#This Row],[제품코드]],공정중_우선순위[[제품코드]:[우선순위]],4,0)</f>
        <v>5</v>
      </c>
      <c r="M685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686" spans="1:13" ht="54" x14ac:dyDescent="0.25">
      <c r="A686" t="s">
        <v>438</v>
      </c>
      <c r="B686" t="s">
        <v>439</v>
      </c>
      <c r="C686" t="s">
        <v>440</v>
      </c>
      <c r="D686" t="s">
        <v>86</v>
      </c>
      <c r="E686" t="s">
        <v>87</v>
      </c>
      <c r="F686" t="s">
        <v>441</v>
      </c>
      <c r="G686">
        <v>50</v>
      </c>
      <c r="H686" t="s">
        <v>4</v>
      </c>
      <c r="I686" t="s">
        <v>449</v>
      </c>
      <c r="J686">
        <v>600000</v>
      </c>
      <c r="K686">
        <v>4</v>
      </c>
      <c r="L686">
        <f>VLOOKUP(Merge1[[#This Row],[제품코드]],공정중_우선순위[[제품코드]:[우선순위]],4,0)</f>
        <v>5</v>
      </c>
      <c r="M686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687" spans="1:13" ht="54" x14ac:dyDescent="0.25">
      <c r="A687" t="s">
        <v>438</v>
      </c>
      <c r="B687" t="s">
        <v>439</v>
      </c>
      <c r="C687" t="s">
        <v>443</v>
      </c>
      <c r="D687" t="s">
        <v>86</v>
      </c>
      <c r="E687" t="s">
        <v>87</v>
      </c>
      <c r="F687" t="s">
        <v>444</v>
      </c>
      <c r="G687">
        <v>50</v>
      </c>
      <c r="H687" t="s">
        <v>4</v>
      </c>
      <c r="I687" t="s">
        <v>449</v>
      </c>
      <c r="J687">
        <v>600000</v>
      </c>
      <c r="K687">
        <v>4</v>
      </c>
      <c r="L687">
        <f>VLOOKUP(Merge1[[#This Row],[제품코드]],공정중_우선순위[[제품코드]:[우선순위]],4,0)</f>
        <v>5</v>
      </c>
      <c r="M687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688" spans="1:13" ht="54" x14ac:dyDescent="0.25">
      <c r="A688" t="s">
        <v>438</v>
      </c>
      <c r="B688" t="s">
        <v>439</v>
      </c>
      <c r="C688" t="s">
        <v>445</v>
      </c>
      <c r="D688" t="s">
        <v>86</v>
      </c>
      <c r="E688" t="s">
        <v>87</v>
      </c>
      <c r="F688" t="s">
        <v>446</v>
      </c>
      <c r="G688">
        <v>50</v>
      </c>
      <c r="H688" t="s">
        <v>4</v>
      </c>
      <c r="I688" t="s">
        <v>449</v>
      </c>
      <c r="J688">
        <v>600000</v>
      </c>
      <c r="K688">
        <v>4</v>
      </c>
      <c r="L688">
        <f>VLOOKUP(Merge1[[#This Row],[제품코드]],공정중_우선순위[[제품코드]:[우선순위]],4,0)</f>
        <v>5</v>
      </c>
      <c r="M688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689" spans="1:13" ht="54" x14ac:dyDescent="0.25">
      <c r="A689" t="s">
        <v>438</v>
      </c>
      <c r="B689" t="s">
        <v>439</v>
      </c>
      <c r="C689" t="s">
        <v>447</v>
      </c>
      <c r="D689" t="s">
        <v>86</v>
      </c>
      <c r="E689" t="s">
        <v>87</v>
      </c>
      <c r="F689" t="s">
        <v>448</v>
      </c>
      <c r="G689">
        <v>50</v>
      </c>
      <c r="H689" t="s">
        <v>4</v>
      </c>
      <c r="I689" t="s">
        <v>449</v>
      </c>
      <c r="J689">
        <v>600000</v>
      </c>
      <c r="K689">
        <v>4</v>
      </c>
      <c r="L689">
        <f>VLOOKUP(Merge1[[#This Row],[제품코드]],공정중_우선순위[[제품코드]:[우선순위]],4,0)</f>
        <v>5</v>
      </c>
      <c r="M689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690" spans="1:13" ht="54" x14ac:dyDescent="0.25">
      <c r="A690" t="s">
        <v>438</v>
      </c>
      <c r="B690" t="s">
        <v>439</v>
      </c>
      <c r="C690" t="s">
        <v>450</v>
      </c>
      <c r="D690" t="s">
        <v>86</v>
      </c>
      <c r="E690" t="s">
        <v>87</v>
      </c>
      <c r="F690" t="s">
        <v>451</v>
      </c>
      <c r="G690">
        <v>60</v>
      </c>
      <c r="H690" t="s">
        <v>5</v>
      </c>
      <c r="I690" t="s">
        <v>452</v>
      </c>
      <c r="J690">
        <v>600000</v>
      </c>
      <c r="K690">
        <v>17</v>
      </c>
      <c r="L690">
        <f>VLOOKUP(Merge1[[#This Row],[제품코드]],공정중_우선순위[[제품코드]:[우선순위]],4,0)</f>
        <v>5</v>
      </c>
      <c r="M690" s="10" t="str">
        <f>_xlfn.TEXTJOIN(CHAR(10), TRUE, ,Merge1[[#This Row],[제품명]],Merge1[[#This Row],[오더번호]],Merge1[[#This Row],[제조번호]],Merge1[[#This Row],[지시수량]])</f>
        <v>도베셀정 500MG 반제품
1015526
A002930
600000</v>
      </c>
    </row>
    <row r="691" spans="1:13" ht="54" x14ac:dyDescent="0.25">
      <c r="A691" t="s">
        <v>438</v>
      </c>
      <c r="B691" t="s">
        <v>439</v>
      </c>
      <c r="C691" t="s">
        <v>440</v>
      </c>
      <c r="D691" t="s">
        <v>86</v>
      </c>
      <c r="E691" t="s">
        <v>87</v>
      </c>
      <c r="F691" t="s">
        <v>441</v>
      </c>
      <c r="G691">
        <v>60</v>
      </c>
      <c r="H691" t="s">
        <v>5</v>
      </c>
      <c r="I691" t="s">
        <v>452</v>
      </c>
      <c r="J691">
        <v>600000</v>
      </c>
      <c r="K691">
        <v>17</v>
      </c>
      <c r="L691">
        <f>VLOOKUP(Merge1[[#This Row],[제품코드]],공정중_우선순위[[제품코드]:[우선순위]],4,0)</f>
        <v>5</v>
      </c>
      <c r="M691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692" spans="1:13" ht="54" x14ac:dyDescent="0.25">
      <c r="A692" t="s">
        <v>438</v>
      </c>
      <c r="B692" t="s">
        <v>439</v>
      </c>
      <c r="C692" t="s">
        <v>443</v>
      </c>
      <c r="D692" t="s">
        <v>86</v>
      </c>
      <c r="E692" t="s">
        <v>87</v>
      </c>
      <c r="F692" t="s">
        <v>444</v>
      </c>
      <c r="G692">
        <v>60</v>
      </c>
      <c r="H692" t="s">
        <v>5</v>
      </c>
      <c r="I692" t="s">
        <v>452</v>
      </c>
      <c r="J692">
        <v>600000</v>
      </c>
      <c r="K692">
        <v>17</v>
      </c>
      <c r="L692">
        <f>VLOOKUP(Merge1[[#This Row],[제품코드]],공정중_우선순위[[제품코드]:[우선순위]],4,0)</f>
        <v>5</v>
      </c>
      <c r="M692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693" spans="1:13" ht="54" x14ac:dyDescent="0.25">
      <c r="A693" t="s">
        <v>438</v>
      </c>
      <c r="B693" t="s">
        <v>439</v>
      </c>
      <c r="C693" t="s">
        <v>445</v>
      </c>
      <c r="D693" t="s">
        <v>86</v>
      </c>
      <c r="E693" t="s">
        <v>87</v>
      </c>
      <c r="F693" t="s">
        <v>446</v>
      </c>
      <c r="G693">
        <v>60</v>
      </c>
      <c r="H693" t="s">
        <v>5</v>
      </c>
      <c r="I693" t="s">
        <v>452</v>
      </c>
      <c r="J693">
        <v>600000</v>
      </c>
      <c r="K693">
        <v>17</v>
      </c>
      <c r="L693">
        <f>VLOOKUP(Merge1[[#This Row],[제품코드]],공정중_우선순위[[제품코드]:[우선순위]],4,0)</f>
        <v>5</v>
      </c>
      <c r="M693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694" spans="1:13" ht="54" x14ac:dyDescent="0.25">
      <c r="A694" t="s">
        <v>438</v>
      </c>
      <c r="B694" t="s">
        <v>439</v>
      </c>
      <c r="C694" t="s">
        <v>447</v>
      </c>
      <c r="D694" t="s">
        <v>86</v>
      </c>
      <c r="E694" t="s">
        <v>87</v>
      </c>
      <c r="F694" t="s">
        <v>448</v>
      </c>
      <c r="G694">
        <v>60</v>
      </c>
      <c r="H694" t="s">
        <v>5</v>
      </c>
      <c r="I694" t="s">
        <v>452</v>
      </c>
      <c r="J694">
        <v>600000</v>
      </c>
      <c r="K694">
        <v>17</v>
      </c>
      <c r="L694">
        <f>VLOOKUP(Merge1[[#This Row],[제품코드]],공정중_우선순위[[제품코드]:[우선순위]],4,0)</f>
        <v>5</v>
      </c>
      <c r="M694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695" spans="1:13" ht="54" x14ac:dyDescent="0.25">
      <c r="A695" t="s">
        <v>438</v>
      </c>
      <c r="B695" t="s">
        <v>439</v>
      </c>
      <c r="C695" t="s">
        <v>450</v>
      </c>
      <c r="D695" t="s">
        <v>86</v>
      </c>
      <c r="E695" t="s">
        <v>87</v>
      </c>
      <c r="F695" t="s">
        <v>451</v>
      </c>
      <c r="G695">
        <v>60</v>
      </c>
      <c r="H695" t="s">
        <v>5</v>
      </c>
      <c r="I695" t="s">
        <v>452</v>
      </c>
      <c r="J695">
        <v>600000</v>
      </c>
      <c r="K695">
        <v>12</v>
      </c>
      <c r="L695">
        <f>VLOOKUP(Merge1[[#This Row],[제품코드]],공정중_우선순위[[제품코드]:[우선순위]],4,0)</f>
        <v>5</v>
      </c>
      <c r="M695" s="10" t="str">
        <f>_xlfn.TEXTJOIN(CHAR(10), TRUE, ,Merge1[[#This Row],[제품명]],Merge1[[#This Row],[오더번호]],Merge1[[#This Row],[제조번호]],Merge1[[#This Row],[지시수량]])</f>
        <v>도베셀정 500MG 반제품
1015526
A002930
600000</v>
      </c>
    </row>
    <row r="696" spans="1:13" ht="54" x14ac:dyDescent="0.25">
      <c r="A696" t="s">
        <v>438</v>
      </c>
      <c r="B696" t="s">
        <v>439</v>
      </c>
      <c r="C696" t="s">
        <v>440</v>
      </c>
      <c r="D696" t="s">
        <v>86</v>
      </c>
      <c r="E696" t="s">
        <v>87</v>
      </c>
      <c r="F696" t="s">
        <v>441</v>
      </c>
      <c r="G696">
        <v>60</v>
      </c>
      <c r="H696" t="s">
        <v>5</v>
      </c>
      <c r="I696" t="s">
        <v>452</v>
      </c>
      <c r="J696">
        <v>600000</v>
      </c>
      <c r="K696">
        <v>12</v>
      </c>
      <c r="L696">
        <f>VLOOKUP(Merge1[[#This Row],[제품코드]],공정중_우선순위[[제품코드]:[우선순위]],4,0)</f>
        <v>5</v>
      </c>
      <c r="M696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697" spans="1:13" ht="54" x14ac:dyDescent="0.25">
      <c r="A697" t="s">
        <v>438</v>
      </c>
      <c r="B697" t="s">
        <v>439</v>
      </c>
      <c r="C697" t="s">
        <v>443</v>
      </c>
      <c r="D697" t="s">
        <v>86</v>
      </c>
      <c r="E697" t="s">
        <v>87</v>
      </c>
      <c r="F697" t="s">
        <v>444</v>
      </c>
      <c r="G697">
        <v>60</v>
      </c>
      <c r="H697" t="s">
        <v>5</v>
      </c>
      <c r="I697" t="s">
        <v>452</v>
      </c>
      <c r="J697">
        <v>600000</v>
      </c>
      <c r="K697">
        <v>12</v>
      </c>
      <c r="L697">
        <f>VLOOKUP(Merge1[[#This Row],[제품코드]],공정중_우선순위[[제품코드]:[우선순위]],4,0)</f>
        <v>5</v>
      </c>
      <c r="M697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698" spans="1:13" ht="54" x14ac:dyDescent="0.25">
      <c r="A698" t="s">
        <v>438</v>
      </c>
      <c r="B698" t="s">
        <v>439</v>
      </c>
      <c r="C698" t="s">
        <v>445</v>
      </c>
      <c r="D698" t="s">
        <v>86</v>
      </c>
      <c r="E698" t="s">
        <v>87</v>
      </c>
      <c r="F698" t="s">
        <v>446</v>
      </c>
      <c r="G698">
        <v>60</v>
      </c>
      <c r="H698" t="s">
        <v>5</v>
      </c>
      <c r="I698" t="s">
        <v>452</v>
      </c>
      <c r="J698">
        <v>600000</v>
      </c>
      <c r="K698">
        <v>12</v>
      </c>
      <c r="L698">
        <f>VLOOKUP(Merge1[[#This Row],[제품코드]],공정중_우선순위[[제품코드]:[우선순위]],4,0)</f>
        <v>5</v>
      </c>
      <c r="M698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699" spans="1:13" ht="54" x14ac:dyDescent="0.25">
      <c r="A699" t="s">
        <v>438</v>
      </c>
      <c r="B699" t="s">
        <v>439</v>
      </c>
      <c r="C699" t="s">
        <v>447</v>
      </c>
      <c r="D699" t="s">
        <v>86</v>
      </c>
      <c r="E699" t="s">
        <v>87</v>
      </c>
      <c r="F699" t="s">
        <v>448</v>
      </c>
      <c r="G699">
        <v>60</v>
      </c>
      <c r="H699" t="s">
        <v>5</v>
      </c>
      <c r="I699" t="s">
        <v>452</v>
      </c>
      <c r="J699">
        <v>600000</v>
      </c>
      <c r="K699">
        <v>12</v>
      </c>
      <c r="L699">
        <f>VLOOKUP(Merge1[[#This Row],[제품코드]],공정중_우선순위[[제품코드]:[우선순위]],4,0)</f>
        <v>5</v>
      </c>
      <c r="M699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700" spans="1:13" ht="54" x14ac:dyDescent="0.25">
      <c r="A700" t="s">
        <v>438</v>
      </c>
      <c r="B700" t="s">
        <v>439</v>
      </c>
      <c r="C700" t="s">
        <v>453</v>
      </c>
      <c r="D700" t="s">
        <v>86</v>
      </c>
      <c r="E700" t="s">
        <v>87</v>
      </c>
      <c r="F700" t="s">
        <v>454</v>
      </c>
      <c r="G700">
        <v>110</v>
      </c>
      <c r="H700" t="s">
        <v>6</v>
      </c>
      <c r="I700" t="s">
        <v>455</v>
      </c>
      <c r="J700">
        <v>600000</v>
      </c>
      <c r="K700">
        <v>15</v>
      </c>
      <c r="L700">
        <f>VLOOKUP(Merge1[[#This Row],[제품코드]],공정중_우선순위[[제품코드]:[우선순위]],4,0)</f>
        <v>5</v>
      </c>
      <c r="M700" s="10" t="str">
        <f>_xlfn.TEXTJOIN(CHAR(10), TRUE, ,Merge1[[#This Row],[제품명]],Merge1[[#This Row],[오더번호]],Merge1[[#This Row],[제조번호]],Merge1[[#This Row],[지시수량]])</f>
        <v>도베셀정 500MG 반제품
1015509
A002926
600000</v>
      </c>
    </row>
    <row r="701" spans="1:13" ht="54" x14ac:dyDescent="0.25">
      <c r="A701" t="s">
        <v>438</v>
      </c>
      <c r="B701" t="s">
        <v>439</v>
      </c>
      <c r="C701" t="s">
        <v>456</v>
      </c>
      <c r="D701" t="s">
        <v>86</v>
      </c>
      <c r="E701" t="s">
        <v>87</v>
      </c>
      <c r="F701" t="s">
        <v>457</v>
      </c>
      <c r="G701">
        <v>110</v>
      </c>
      <c r="H701" t="s">
        <v>6</v>
      </c>
      <c r="I701" t="s">
        <v>455</v>
      </c>
      <c r="J701">
        <v>600000</v>
      </c>
      <c r="K701">
        <v>15</v>
      </c>
      <c r="L701">
        <f>VLOOKUP(Merge1[[#This Row],[제품코드]],공정중_우선순위[[제품코드]:[우선순위]],4,0)</f>
        <v>5</v>
      </c>
      <c r="M701" s="10" t="str">
        <f>_xlfn.TEXTJOIN(CHAR(10), TRUE, ,Merge1[[#This Row],[제품명]],Merge1[[#This Row],[오더번호]],Merge1[[#This Row],[제조번호]],Merge1[[#This Row],[지시수량]])</f>
        <v>도베셀정 500MG 반제품
1015525
A002929
600000</v>
      </c>
    </row>
    <row r="702" spans="1:13" ht="54" x14ac:dyDescent="0.25">
      <c r="A702" t="s">
        <v>438</v>
      </c>
      <c r="B702" t="s">
        <v>439</v>
      </c>
      <c r="C702" t="s">
        <v>450</v>
      </c>
      <c r="D702" t="s">
        <v>86</v>
      </c>
      <c r="E702" t="s">
        <v>87</v>
      </c>
      <c r="F702" t="s">
        <v>451</v>
      </c>
      <c r="G702">
        <v>110</v>
      </c>
      <c r="H702" t="s">
        <v>6</v>
      </c>
      <c r="I702" t="s">
        <v>455</v>
      </c>
      <c r="J702">
        <v>600000</v>
      </c>
      <c r="K702">
        <v>15</v>
      </c>
      <c r="L702">
        <f>VLOOKUP(Merge1[[#This Row],[제품코드]],공정중_우선순위[[제품코드]:[우선순위]],4,0)</f>
        <v>5</v>
      </c>
      <c r="M702" s="10" t="str">
        <f>_xlfn.TEXTJOIN(CHAR(10), TRUE, ,Merge1[[#This Row],[제품명]],Merge1[[#This Row],[오더번호]],Merge1[[#This Row],[제조번호]],Merge1[[#This Row],[지시수량]])</f>
        <v>도베셀정 500MG 반제품
1015526
A002930
600000</v>
      </c>
    </row>
    <row r="703" spans="1:13" ht="54" x14ac:dyDescent="0.25">
      <c r="A703" t="s">
        <v>438</v>
      </c>
      <c r="B703" t="s">
        <v>439</v>
      </c>
      <c r="C703" t="s">
        <v>440</v>
      </c>
      <c r="D703" t="s">
        <v>86</v>
      </c>
      <c r="E703" t="s">
        <v>87</v>
      </c>
      <c r="F703" t="s">
        <v>441</v>
      </c>
      <c r="G703">
        <v>110</v>
      </c>
      <c r="H703" t="s">
        <v>6</v>
      </c>
      <c r="I703" t="s">
        <v>455</v>
      </c>
      <c r="J703">
        <v>600000</v>
      </c>
      <c r="K703">
        <v>15</v>
      </c>
      <c r="L703">
        <f>VLOOKUP(Merge1[[#This Row],[제품코드]],공정중_우선순위[[제품코드]:[우선순위]],4,0)</f>
        <v>5</v>
      </c>
      <c r="M703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704" spans="1:13" ht="54" x14ac:dyDescent="0.25">
      <c r="A704" t="s">
        <v>438</v>
      </c>
      <c r="B704" t="s">
        <v>439</v>
      </c>
      <c r="C704" t="s">
        <v>443</v>
      </c>
      <c r="D704" t="s">
        <v>86</v>
      </c>
      <c r="E704" t="s">
        <v>87</v>
      </c>
      <c r="F704" t="s">
        <v>444</v>
      </c>
      <c r="G704">
        <v>110</v>
      </c>
      <c r="H704" t="s">
        <v>6</v>
      </c>
      <c r="I704" t="s">
        <v>455</v>
      </c>
      <c r="J704">
        <v>600000</v>
      </c>
      <c r="K704">
        <v>15</v>
      </c>
      <c r="L704">
        <f>VLOOKUP(Merge1[[#This Row],[제품코드]],공정중_우선순위[[제품코드]:[우선순위]],4,0)</f>
        <v>5</v>
      </c>
      <c r="M704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705" spans="1:13" ht="54" x14ac:dyDescent="0.25">
      <c r="A705" t="s">
        <v>438</v>
      </c>
      <c r="B705" t="s">
        <v>439</v>
      </c>
      <c r="C705" t="s">
        <v>445</v>
      </c>
      <c r="D705" t="s">
        <v>86</v>
      </c>
      <c r="E705" t="s">
        <v>87</v>
      </c>
      <c r="F705" t="s">
        <v>446</v>
      </c>
      <c r="G705">
        <v>110</v>
      </c>
      <c r="H705" t="s">
        <v>6</v>
      </c>
      <c r="I705" t="s">
        <v>455</v>
      </c>
      <c r="J705">
        <v>600000</v>
      </c>
      <c r="K705">
        <v>15</v>
      </c>
      <c r="L705">
        <f>VLOOKUP(Merge1[[#This Row],[제품코드]],공정중_우선순위[[제품코드]:[우선순위]],4,0)</f>
        <v>5</v>
      </c>
      <c r="M705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706" spans="1:13" ht="54" x14ac:dyDescent="0.25">
      <c r="A706" t="s">
        <v>438</v>
      </c>
      <c r="B706" t="s">
        <v>439</v>
      </c>
      <c r="C706" t="s">
        <v>447</v>
      </c>
      <c r="D706" t="s">
        <v>86</v>
      </c>
      <c r="E706" t="s">
        <v>87</v>
      </c>
      <c r="F706" t="s">
        <v>448</v>
      </c>
      <c r="G706">
        <v>110</v>
      </c>
      <c r="H706" t="s">
        <v>6</v>
      </c>
      <c r="I706" t="s">
        <v>455</v>
      </c>
      <c r="J706">
        <v>600000</v>
      </c>
      <c r="K706">
        <v>15</v>
      </c>
      <c r="L706">
        <f>VLOOKUP(Merge1[[#This Row],[제품코드]],공정중_우선순위[[제품코드]:[우선순위]],4,0)</f>
        <v>5</v>
      </c>
      <c r="M706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707" spans="1:13" ht="54" x14ac:dyDescent="0.25">
      <c r="A707" t="s">
        <v>438</v>
      </c>
      <c r="B707" t="s">
        <v>439</v>
      </c>
      <c r="C707" t="s">
        <v>453</v>
      </c>
      <c r="D707" t="s">
        <v>86</v>
      </c>
      <c r="E707" t="s">
        <v>87</v>
      </c>
      <c r="F707" t="s">
        <v>454</v>
      </c>
      <c r="G707">
        <v>110</v>
      </c>
      <c r="H707" t="s">
        <v>6</v>
      </c>
      <c r="I707" t="s">
        <v>455</v>
      </c>
      <c r="J707">
        <v>600000</v>
      </c>
      <c r="K707">
        <v>17</v>
      </c>
      <c r="L707">
        <f>VLOOKUP(Merge1[[#This Row],[제품코드]],공정중_우선순위[[제품코드]:[우선순위]],4,0)</f>
        <v>5</v>
      </c>
      <c r="M707" s="10" t="str">
        <f>_xlfn.TEXTJOIN(CHAR(10), TRUE, ,Merge1[[#This Row],[제품명]],Merge1[[#This Row],[오더번호]],Merge1[[#This Row],[제조번호]],Merge1[[#This Row],[지시수량]])</f>
        <v>도베셀정 500MG 반제품
1015509
A002926
600000</v>
      </c>
    </row>
    <row r="708" spans="1:13" ht="54" x14ac:dyDescent="0.25">
      <c r="A708" t="s">
        <v>438</v>
      </c>
      <c r="B708" t="s">
        <v>439</v>
      </c>
      <c r="C708" t="s">
        <v>456</v>
      </c>
      <c r="D708" t="s">
        <v>86</v>
      </c>
      <c r="E708" t="s">
        <v>87</v>
      </c>
      <c r="F708" t="s">
        <v>457</v>
      </c>
      <c r="G708">
        <v>110</v>
      </c>
      <c r="H708" t="s">
        <v>6</v>
      </c>
      <c r="I708" t="s">
        <v>455</v>
      </c>
      <c r="J708">
        <v>600000</v>
      </c>
      <c r="K708">
        <v>17</v>
      </c>
      <c r="L708">
        <f>VLOOKUP(Merge1[[#This Row],[제품코드]],공정중_우선순위[[제품코드]:[우선순위]],4,0)</f>
        <v>5</v>
      </c>
      <c r="M708" s="10" t="str">
        <f>_xlfn.TEXTJOIN(CHAR(10), TRUE, ,Merge1[[#This Row],[제품명]],Merge1[[#This Row],[오더번호]],Merge1[[#This Row],[제조번호]],Merge1[[#This Row],[지시수량]])</f>
        <v>도베셀정 500MG 반제품
1015525
A002929
600000</v>
      </c>
    </row>
    <row r="709" spans="1:13" ht="54" x14ac:dyDescent="0.25">
      <c r="A709" t="s">
        <v>438</v>
      </c>
      <c r="B709" t="s">
        <v>439</v>
      </c>
      <c r="C709" t="s">
        <v>450</v>
      </c>
      <c r="D709" t="s">
        <v>86</v>
      </c>
      <c r="E709" t="s">
        <v>87</v>
      </c>
      <c r="F709" t="s">
        <v>451</v>
      </c>
      <c r="G709">
        <v>110</v>
      </c>
      <c r="H709" t="s">
        <v>6</v>
      </c>
      <c r="I709" t="s">
        <v>455</v>
      </c>
      <c r="J709">
        <v>600000</v>
      </c>
      <c r="K709">
        <v>17</v>
      </c>
      <c r="L709">
        <f>VLOOKUP(Merge1[[#This Row],[제품코드]],공정중_우선순위[[제품코드]:[우선순위]],4,0)</f>
        <v>5</v>
      </c>
      <c r="M709" s="10" t="str">
        <f>_xlfn.TEXTJOIN(CHAR(10), TRUE, ,Merge1[[#This Row],[제품명]],Merge1[[#This Row],[오더번호]],Merge1[[#This Row],[제조번호]],Merge1[[#This Row],[지시수량]])</f>
        <v>도베셀정 500MG 반제품
1015526
A002930
600000</v>
      </c>
    </row>
    <row r="710" spans="1:13" ht="54" x14ac:dyDescent="0.25">
      <c r="A710" t="s">
        <v>438</v>
      </c>
      <c r="B710" t="s">
        <v>439</v>
      </c>
      <c r="C710" t="s">
        <v>440</v>
      </c>
      <c r="D710" t="s">
        <v>86</v>
      </c>
      <c r="E710" t="s">
        <v>87</v>
      </c>
      <c r="F710" t="s">
        <v>441</v>
      </c>
      <c r="G710">
        <v>110</v>
      </c>
      <c r="H710" t="s">
        <v>6</v>
      </c>
      <c r="I710" t="s">
        <v>455</v>
      </c>
      <c r="J710">
        <v>600000</v>
      </c>
      <c r="K710">
        <v>17</v>
      </c>
      <c r="L710">
        <f>VLOOKUP(Merge1[[#This Row],[제품코드]],공정중_우선순위[[제품코드]:[우선순위]],4,0)</f>
        <v>5</v>
      </c>
      <c r="M710" s="10" t="str">
        <f>_xlfn.TEXTJOIN(CHAR(10), TRUE, ,Merge1[[#This Row],[제품명]],Merge1[[#This Row],[오더번호]],Merge1[[#This Row],[제조번호]],Merge1[[#This Row],[지시수량]])</f>
        <v>도베셀정 500MG 반제품
1015551
A002937
600000</v>
      </c>
    </row>
    <row r="711" spans="1:13" ht="54" x14ac:dyDescent="0.25">
      <c r="A711" t="s">
        <v>438</v>
      </c>
      <c r="B711" t="s">
        <v>439</v>
      </c>
      <c r="C711" t="s">
        <v>443</v>
      </c>
      <c r="D711" t="s">
        <v>86</v>
      </c>
      <c r="E711" t="s">
        <v>87</v>
      </c>
      <c r="F711" t="s">
        <v>444</v>
      </c>
      <c r="G711">
        <v>110</v>
      </c>
      <c r="H711" t="s">
        <v>6</v>
      </c>
      <c r="I711" t="s">
        <v>455</v>
      </c>
      <c r="J711">
        <v>600000</v>
      </c>
      <c r="K711">
        <v>17</v>
      </c>
      <c r="L711">
        <f>VLOOKUP(Merge1[[#This Row],[제품코드]],공정중_우선순위[[제품코드]:[우선순위]],4,0)</f>
        <v>5</v>
      </c>
      <c r="M711" s="10" t="str">
        <f>_xlfn.TEXTJOIN(CHAR(10), TRUE, ,Merge1[[#This Row],[제품명]],Merge1[[#This Row],[오더번호]],Merge1[[#This Row],[제조번호]],Merge1[[#This Row],[지시수량]])</f>
        <v>도베셀정 500MG 반제품
1015552
A002938
600000</v>
      </c>
    </row>
    <row r="712" spans="1:13" ht="54" x14ac:dyDescent="0.25">
      <c r="A712" t="s">
        <v>438</v>
      </c>
      <c r="B712" t="s">
        <v>439</v>
      </c>
      <c r="C712" t="s">
        <v>445</v>
      </c>
      <c r="D712" t="s">
        <v>86</v>
      </c>
      <c r="E712" t="s">
        <v>87</v>
      </c>
      <c r="F712" t="s">
        <v>446</v>
      </c>
      <c r="G712">
        <v>110</v>
      </c>
      <c r="H712" t="s">
        <v>6</v>
      </c>
      <c r="I712" t="s">
        <v>455</v>
      </c>
      <c r="J712">
        <v>600000</v>
      </c>
      <c r="K712">
        <v>17</v>
      </c>
      <c r="L712">
        <f>VLOOKUP(Merge1[[#This Row],[제품코드]],공정중_우선순위[[제품코드]:[우선순위]],4,0)</f>
        <v>5</v>
      </c>
      <c r="M712" s="10" t="str">
        <f>_xlfn.TEXTJOIN(CHAR(10), TRUE, ,Merge1[[#This Row],[제품명]],Merge1[[#This Row],[오더번호]],Merge1[[#This Row],[제조번호]],Merge1[[#This Row],[지시수량]])</f>
        <v>도베셀정 500MG 반제품
1015583
A002949
600000</v>
      </c>
    </row>
    <row r="713" spans="1:13" ht="54" x14ac:dyDescent="0.25">
      <c r="A713" t="s">
        <v>438</v>
      </c>
      <c r="B713" t="s">
        <v>439</v>
      </c>
      <c r="C713" t="s">
        <v>447</v>
      </c>
      <c r="D713" t="s">
        <v>86</v>
      </c>
      <c r="E713" t="s">
        <v>87</v>
      </c>
      <c r="F713" t="s">
        <v>448</v>
      </c>
      <c r="G713">
        <v>110</v>
      </c>
      <c r="H713" t="s">
        <v>6</v>
      </c>
      <c r="I713" t="s">
        <v>455</v>
      </c>
      <c r="J713">
        <v>600000</v>
      </c>
      <c r="K713">
        <v>17</v>
      </c>
      <c r="L713">
        <f>VLOOKUP(Merge1[[#This Row],[제품코드]],공정중_우선순위[[제품코드]:[우선순위]],4,0)</f>
        <v>5</v>
      </c>
      <c r="M713" s="10" t="str">
        <f>_xlfn.TEXTJOIN(CHAR(10), TRUE, ,Merge1[[#This Row],[제품명]],Merge1[[#This Row],[오더번호]],Merge1[[#This Row],[제조번호]],Merge1[[#This Row],[지시수량]])</f>
        <v>도베셀정 500MG 반제품
1015584
A002950
600000</v>
      </c>
    </row>
    <row r="714" spans="1:13" ht="67.5" x14ac:dyDescent="0.25">
      <c r="A714" t="s">
        <v>438</v>
      </c>
      <c r="B714" t="s">
        <v>477</v>
      </c>
      <c r="C714" t="s">
        <v>478</v>
      </c>
      <c r="D714" t="s">
        <v>96</v>
      </c>
      <c r="E714" t="s">
        <v>97</v>
      </c>
      <c r="F714" t="s">
        <v>479</v>
      </c>
      <c r="G714">
        <v>60</v>
      </c>
      <c r="H714" t="s">
        <v>5</v>
      </c>
      <c r="I714" t="s">
        <v>473</v>
      </c>
      <c r="J714">
        <v>300000</v>
      </c>
      <c r="K714">
        <v>15</v>
      </c>
      <c r="L714">
        <f>VLOOKUP(Merge1[[#This Row],[제품코드]],공정중_우선순위[[제품코드]:[우선순위]],4,0)</f>
        <v>5</v>
      </c>
      <c r="M714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15" spans="1:13" ht="67.5" x14ac:dyDescent="0.25">
      <c r="A715" t="s">
        <v>438</v>
      </c>
      <c r="B715" t="s">
        <v>477</v>
      </c>
      <c r="C715" t="s">
        <v>478</v>
      </c>
      <c r="D715" t="s">
        <v>96</v>
      </c>
      <c r="E715" t="s">
        <v>97</v>
      </c>
      <c r="F715" t="s">
        <v>479</v>
      </c>
      <c r="G715">
        <v>60</v>
      </c>
      <c r="H715" t="s">
        <v>5</v>
      </c>
      <c r="I715" t="s">
        <v>473</v>
      </c>
      <c r="J715">
        <v>300000</v>
      </c>
      <c r="K715">
        <v>18</v>
      </c>
      <c r="L715">
        <f>VLOOKUP(Merge1[[#This Row],[제품코드]],공정중_우선순위[[제품코드]:[우선순위]],4,0)</f>
        <v>5</v>
      </c>
      <c r="M715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16" spans="1:13" ht="67.5" x14ac:dyDescent="0.25">
      <c r="A716" t="s">
        <v>438</v>
      </c>
      <c r="B716" t="s">
        <v>477</v>
      </c>
      <c r="C716" t="s">
        <v>478</v>
      </c>
      <c r="D716" t="s">
        <v>96</v>
      </c>
      <c r="E716" t="s">
        <v>97</v>
      </c>
      <c r="F716" t="s">
        <v>479</v>
      </c>
      <c r="G716">
        <v>80</v>
      </c>
      <c r="H716" t="s">
        <v>9</v>
      </c>
      <c r="I716" t="s">
        <v>476</v>
      </c>
      <c r="J716">
        <v>300000</v>
      </c>
      <c r="K716">
        <v>11</v>
      </c>
      <c r="L716">
        <f>VLOOKUP(Merge1[[#This Row],[제품코드]],공정중_우선순위[[제품코드]:[우선순위]],4,0)</f>
        <v>5</v>
      </c>
      <c r="M716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17" spans="1:13" ht="67.5" x14ac:dyDescent="0.25">
      <c r="A717" t="s">
        <v>438</v>
      </c>
      <c r="B717" t="s">
        <v>477</v>
      </c>
      <c r="C717" t="s">
        <v>478</v>
      </c>
      <c r="D717" t="s">
        <v>96</v>
      </c>
      <c r="E717" t="s">
        <v>97</v>
      </c>
      <c r="F717" t="s">
        <v>479</v>
      </c>
      <c r="G717">
        <v>80</v>
      </c>
      <c r="H717" t="s">
        <v>9</v>
      </c>
      <c r="I717" t="s">
        <v>476</v>
      </c>
      <c r="J717">
        <v>300000</v>
      </c>
      <c r="K717">
        <v>11</v>
      </c>
      <c r="L717">
        <f>VLOOKUP(Merge1[[#This Row],[제품코드]],공정중_우선순위[[제품코드]:[우선순위]],4,0)</f>
        <v>5</v>
      </c>
      <c r="M717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18" spans="1:13" ht="67.5" x14ac:dyDescent="0.25">
      <c r="A718" t="s">
        <v>438</v>
      </c>
      <c r="B718" t="s">
        <v>477</v>
      </c>
      <c r="C718" t="s">
        <v>478</v>
      </c>
      <c r="D718" t="s">
        <v>96</v>
      </c>
      <c r="E718" t="s">
        <v>97</v>
      </c>
      <c r="F718" t="s">
        <v>479</v>
      </c>
      <c r="G718">
        <v>110</v>
      </c>
      <c r="H718" t="s">
        <v>6</v>
      </c>
      <c r="I718" t="s">
        <v>455</v>
      </c>
      <c r="J718">
        <v>300000</v>
      </c>
      <c r="K718">
        <v>11</v>
      </c>
      <c r="L718">
        <f>VLOOKUP(Merge1[[#This Row],[제품코드]],공정중_우선순위[[제품코드]:[우선순위]],4,0)</f>
        <v>5</v>
      </c>
      <c r="M718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19" spans="1:13" ht="67.5" x14ac:dyDescent="0.25">
      <c r="A719" t="s">
        <v>438</v>
      </c>
      <c r="B719" t="s">
        <v>477</v>
      </c>
      <c r="C719" t="s">
        <v>478</v>
      </c>
      <c r="D719" t="s">
        <v>96</v>
      </c>
      <c r="E719" t="s">
        <v>97</v>
      </c>
      <c r="F719" t="s">
        <v>479</v>
      </c>
      <c r="G719">
        <v>110</v>
      </c>
      <c r="H719" t="s">
        <v>6</v>
      </c>
      <c r="I719" t="s">
        <v>455</v>
      </c>
      <c r="J719">
        <v>300000</v>
      </c>
      <c r="K719">
        <v>15</v>
      </c>
      <c r="L719">
        <f>VLOOKUP(Merge1[[#This Row],[제품코드]],공정중_우선순위[[제품코드]:[우선순위]],4,0)</f>
        <v>5</v>
      </c>
      <c r="M719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20" spans="1:13" ht="67.5" x14ac:dyDescent="0.25">
      <c r="A720" t="s">
        <v>438</v>
      </c>
      <c r="B720" t="s">
        <v>477</v>
      </c>
      <c r="C720" t="s">
        <v>478</v>
      </c>
      <c r="D720" t="s">
        <v>96</v>
      </c>
      <c r="E720" t="s">
        <v>97</v>
      </c>
      <c r="F720" t="s">
        <v>479</v>
      </c>
      <c r="G720">
        <v>60</v>
      </c>
      <c r="H720" t="s">
        <v>5</v>
      </c>
      <c r="I720" t="s">
        <v>473</v>
      </c>
      <c r="J720">
        <v>300000</v>
      </c>
      <c r="K720">
        <v>15</v>
      </c>
      <c r="L720">
        <f>VLOOKUP(Merge1[[#This Row],[제품코드]],공정중_우선순위[[제품코드]:[우선순위]],4,0)</f>
        <v>5</v>
      </c>
      <c r="M720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21" spans="1:13" ht="67.5" x14ac:dyDescent="0.25">
      <c r="A721" t="s">
        <v>438</v>
      </c>
      <c r="B721" t="s">
        <v>477</v>
      </c>
      <c r="C721" t="s">
        <v>478</v>
      </c>
      <c r="D721" t="s">
        <v>96</v>
      </c>
      <c r="E721" t="s">
        <v>97</v>
      </c>
      <c r="F721" t="s">
        <v>479</v>
      </c>
      <c r="G721">
        <v>60</v>
      </c>
      <c r="H721" t="s">
        <v>5</v>
      </c>
      <c r="I721" t="s">
        <v>473</v>
      </c>
      <c r="J721">
        <v>300000</v>
      </c>
      <c r="K721">
        <v>18</v>
      </c>
      <c r="L721">
        <f>VLOOKUP(Merge1[[#This Row],[제품코드]],공정중_우선순위[[제품코드]:[우선순위]],4,0)</f>
        <v>5</v>
      </c>
      <c r="M721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22" spans="1:13" ht="67.5" x14ac:dyDescent="0.25">
      <c r="A722" t="s">
        <v>438</v>
      </c>
      <c r="B722" t="s">
        <v>477</v>
      </c>
      <c r="C722" t="s">
        <v>478</v>
      </c>
      <c r="D722" t="s">
        <v>96</v>
      </c>
      <c r="E722" t="s">
        <v>97</v>
      </c>
      <c r="F722" t="s">
        <v>479</v>
      </c>
      <c r="G722">
        <v>80</v>
      </c>
      <c r="H722" t="s">
        <v>9</v>
      </c>
      <c r="I722" t="s">
        <v>476</v>
      </c>
      <c r="J722">
        <v>300000</v>
      </c>
      <c r="K722">
        <v>10</v>
      </c>
      <c r="L722">
        <f>VLOOKUP(Merge1[[#This Row],[제품코드]],공정중_우선순위[[제품코드]:[우선순위]],4,0)</f>
        <v>5</v>
      </c>
      <c r="M722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23" spans="1:13" ht="67.5" x14ac:dyDescent="0.25">
      <c r="A723" t="s">
        <v>438</v>
      </c>
      <c r="B723" t="s">
        <v>477</v>
      </c>
      <c r="C723" t="s">
        <v>478</v>
      </c>
      <c r="D723" t="s">
        <v>96</v>
      </c>
      <c r="E723" t="s">
        <v>97</v>
      </c>
      <c r="F723" t="s">
        <v>479</v>
      </c>
      <c r="G723">
        <v>80</v>
      </c>
      <c r="H723" t="s">
        <v>9</v>
      </c>
      <c r="I723" t="s">
        <v>476</v>
      </c>
      <c r="J723">
        <v>300000</v>
      </c>
      <c r="K723">
        <v>10</v>
      </c>
      <c r="L723">
        <f>VLOOKUP(Merge1[[#This Row],[제품코드]],공정중_우선순위[[제품코드]:[우선순위]],4,0)</f>
        <v>5</v>
      </c>
      <c r="M723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24" spans="1:13" ht="67.5" x14ac:dyDescent="0.25">
      <c r="A724" t="s">
        <v>438</v>
      </c>
      <c r="B724" t="s">
        <v>477</v>
      </c>
      <c r="C724" t="s">
        <v>478</v>
      </c>
      <c r="D724" t="s">
        <v>96</v>
      </c>
      <c r="E724" t="s">
        <v>97</v>
      </c>
      <c r="F724" t="s">
        <v>479</v>
      </c>
      <c r="G724">
        <v>110</v>
      </c>
      <c r="H724" t="s">
        <v>6</v>
      </c>
      <c r="I724" t="s">
        <v>455</v>
      </c>
      <c r="J724">
        <v>300000</v>
      </c>
      <c r="K724">
        <v>11</v>
      </c>
      <c r="L724">
        <f>VLOOKUP(Merge1[[#This Row],[제품코드]],공정중_우선순위[[제품코드]:[우선순위]],4,0)</f>
        <v>5</v>
      </c>
      <c r="M724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25" spans="1:13" ht="67.5" x14ac:dyDescent="0.25">
      <c r="A725" t="s">
        <v>438</v>
      </c>
      <c r="B725" t="s">
        <v>477</v>
      </c>
      <c r="C725" t="s">
        <v>478</v>
      </c>
      <c r="D725" t="s">
        <v>96</v>
      </c>
      <c r="E725" t="s">
        <v>97</v>
      </c>
      <c r="F725" t="s">
        <v>479</v>
      </c>
      <c r="G725">
        <v>110</v>
      </c>
      <c r="H725" t="s">
        <v>6</v>
      </c>
      <c r="I725" t="s">
        <v>455</v>
      </c>
      <c r="J725">
        <v>300000</v>
      </c>
      <c r="K725">
        <v>15</v>
      </c>
      <c r="L725">
        <f>VLOOKUP(Merge1[[#This Row],[제품코드]],공정중_우선순위[[제품코드]:[우선순위]],4,0)</f>
        <v>5</v>
      </c>
      <c r="M725" s="10" t="str">
        <f>_xlfn.TEXTJOIN(CHAR(10), TRUE, ,Merge1[[#This Row],[제품명]],Merge1[[#This Row],[오더번호]],Merge1[[#This Row],[제조번호]],Merge1[[#This Row],[지시수량]])</f>
        <v>다파릴듀오서방정10/500mg 반제품
1015648
A002968
300000</v>
      </c>
    </row>
    <row r="726" spans="1:13" ht="54" x14ac:dyDescent="0.25">
      <c r="A726" t="s">
        <v>559</v>
      </c>
      <c r="B726" t="s">
        <v>235</v>
      </c>
      <c r="C726" t="s">
        <v>563</v>
      </c>
      <c r="D726" t="s">
        <v>148</v>
      </c>
      <c r="E726" t="s">
        <v>149</v>
      </c>
      <c r="F726" t="s">
        <v>564</v>
      </c>
      <c r="G726">
        <v>10</v>
      </c>
      <c r="H726" t="s">
        <v>142</v>
      </c>
      <c r="I726" t="s">
        <v>565</v>
      </c>
      <c r="J726">
        <v>33333</v>
      </c>
      <c r="K726">
        <v>21</v>
      </c>
      <c r="L726">
        <f>VLOOKUP(Merge1[[#This Row],[제품코드]],공정중_우선순위[[제품코드]:[우선순위]],4,0)</f>
        <v>1</v>
      </c>
      <c r="M726" s="10" t="str">
        <f>_xlfn.TEXTJOIN(CHAR(10), TRUE, ,Merge1[[#This Row],[제품명]],Merge1[[#This Row],[오더번호]],Merge1[[#This Row],[제조번호]],Merge1[[#This Row],[지시수량]])</f>
        <v>안탁스캡슐180MG 30C (병)
1015664
A002813
33333</v>
      </c>
    </row>
    <row r="727" spans="1:13" ht="54" x14ac:dyDescent="0.25">
      <c r="A727" t="s">
        <v>559</v>
      </c>
      <c r="B727" t="s">
        <v>235</v>
      </c>
      <c r="C727" t="s">
        <v>566</v>
      </c>
      <c r="D727" t="s">
        <v>148</v>
      </c>
      <c r="E727" t="s">
        <v>149</v>
      </c>
      <c r="F727" t="s">
        <v>567</v>
      </c>
      <c r="G727">
        <v>10</v>
      </c>
      <c r="H727" t="s">
        <v>142</v>
      </c>
      <c r="I727" t="s">
        <v>565</v>
      </c>
      <c r="J727">
        <v>33333</v>
      </c>
      <c r="K727">
        <v>21</v>
      </c>
      <c r="L727">
        <f>VLOOKUP(Merge1[[#This Row],[제품코드]],공정중_우선순위[[제품코드]:[우선순위]],4,0)</f>
        <v>1</v>
      </c>
      <c r="M727" s="10" t="str">
        <f>_xlfn.TEXTJOIN(CHAR(10), TRUE, ,Merge1[[#This Row],[제품명]],Merge1[[#This Row],[오더번호]],Merge1[[#This Row],[제조번호]],Merge1[[#This Row],[지시수량]])</f>
        <v>안탁스캡슐180MG 30C (병)
1015665
A002814
33333</v>
      </c>
    </row>
    <row r="728" spans="1:13" ht="54" x14ac:dyDescent="0.25">
      <c r="A728" t="s">
        <v>559</v>
      </c>
      <c r="B728" t="s">
        <v>235</v>
      </c>
      <c r="C728" t="s">
        <v>563</v>
      </c>
      <c r="D728" t="s">
        <v>148</v>
      </c>
      <c r="E728" t="s">
        <v>149</v>
      </c>
      <c r="F728" t="s">
        <v>564</v>
      </c>
      <c r="G728">
        <v>10</v>
      </c>
      <c r="H728" t="s">
        <v>142</v>
      </c>
      <c r="I728" t="s">
        <v>565</v>
      </c>
      <c r="J728">
        <v>33333</v>
      </c>
      <c r="K728">
        <v>21</v>
      </c>
      <c r="L728">
        <f>VLOOKUP(Merge1[[#This Row],[제품코드]],공정중_우선순위[[제품코드]:[우선순위]],4,0)</f>
        <v>1</v>
      </c>
      <c r="M728" s="10" t="str">
        <f>_xlfn.TEXTJOIN(CHAR(10), TRUE, ,Merge1[[#This Row],[제품명]],Merge1[[#This Row],[오더번호]],Merge1[[#This Row],[제조번호]],Merge1[[#This Row],[지시수량]])</f>
        <v>안탁스캡슐180MG 30C (병)
1015664
A002813
33333</v>
      </c>
    </row>
    <row r="729" spans="1:13" ht="54" x14ac:dyDescent="0.25">
      <c r="A729" t="s">
        <v>559</v>
      </c>
      <c r="B729" t="s">
        <v>235</v>
      </c>
      <c r="C729" t="s">
        <v>566</v>
      </c>
      <c r="D729" t="s">
        <v>148</v>
      </c>
      <c r="E729" t="s">
        <v>149</v>
      </c>
      <c r="F729" t="s">
        <v>567</v>
      </c>
      <c r="G729">
        <v>10</v>
      </c>
      <c r="H729" t="s">
        <v>142</v>
      </c>
      <c r="I729" t="s">
        <v>565</v>
      </c>
      <c r="J729">
        <v>33333</v>
      </c>
      <c r="K729">
        <v>21</v>
      </c>
      <c r="L729">
        <f>VLOOKUP(Merge1[[#This Row],[제품코드]],공정중_우선순위[[제품코드]:[우선순위]],4,0)</f>
        <v>1</v>
      </c>
      <c r="M729" s="10" t="str">
        <f>_xlfn.TEXTJOIN(CHAR(10), TRUE, ,Merge1[[#This Row],[제품명]],Merge1[[#This Row],[오더번호]],Merge1[[#This Row],[제조번호]],Merge1[[#This Row],[지시수량]])</f>
        <v>안탁스캡슐180MG 30C (병)
1015665
A002814
33333</v>
      </c>
    </row>
    <row r="730" spans="1:13" ht="54" x14ac:dyDescent="0.25">
      <c r="A730" t="s">
        <v>559</v>
      </c>
      <c r="B730" t="s">
        <v>235</v>
      </c>
      <c r="C730" t="s">
        <v>563</v>
      </c>
      <c r="D730" t="s">
        <v>148</v>
      </c>
      <c r="E730" t="s">
        <v>149</v>
      </c>
      <c r="F730" t="s">
        <v>564</v>
      </c>
      <c r="G730">
        <v>30</v>
      </c>
      <c r="H730" t="s">
        <v>143</v>
      </c>
      <c r="I730" t="s">
        <v>568</v>
      </c>
      <c r="J730">
        <v>33333</v>
      </c>
      <c r="K730">
        <v>21</v>
      </c>
      <c r="L730">
        <f>VLOOKUP(Merge1[[#This Row],[제품코드]],공정중_우선순위[[제품코드]:[우선순위]],4,0)</f>
        <v>1</v>
      </c>
      <c r="M730" s="10" t="str">
        <f>_xlfn.TEXTJOIN(CHAR(10), TRUE, ,Merge1[[#This Row],[제품명]],Merge1[[#This Row],[오더번호]],Merge1[[#This Row],[제조번호]],Merge1[[#This Row],[지시수량]])</f>
        <v>안탁스캡슐180MG 30C (병)
1015664
A002813
33333</v>
      </c>
    </row>
    <row r="731" spans="1:13" ht="54" x14ac:dyDescent="0.25">
      <c r="A731" t="s">
        <v>559</v>
      </c>
      <c r="B731" t="s">
        <v>235</v>
      </c>
      <c r="C731" t="s">
        <v>566</v>
      </c>
      <c r="D731" t="s">
        <v>148</v>
      </c>
      <c r="E731" t="s">
        <v>149</v>
      </c>
      <c r="F731" t="s">
        <v>567</v>
      </c>
      <c r="G731">
        <v>30</v>
      </c>
      <c r="H731" t="s">
        <v>143</v>
      </c>
      <c r="I731" t="s">
        <v>568</v>
      </c>
      <c r="J731">
        <v>33333</v>
      </c>
      <c r="K731">
        <v>21</v>
      </c>
      <c r="L731">
        <f>VLOOKUP(Merge1[[#This Row],[제품코드]],공정중_우선순위[[제품코드]:[우선순위]],4,0)</f>
        <v>1</v>
      </c>
      <c r="M731" s="10" t="str">
        <f>_xlfn.TEXTJOIN(CHAR(10), TRUE, ,Merge1[[#This Row],[제품명]],Merge1[[#This Row],[오더번호]],Merge1[[#This Row],[제조번호]],Merge1[[#This Row],[지시수량]])</f>
        <v>안탁스캡슐180MG 30C (병)
1015665
A002814
33333</v>
      </c>
    </row>
    <row r="732" spans="1:13" ht="54" x14ac:dyDescent="0.25">
      <c r="A732" t="s">
        <v>559</v>
      </c>
      <c r="B732" t="s">
        <v>235</v>
      </c>
      <c r="C732" t="s">
        <v>563</v>
      </c>
      <c r="D732" t="s">
        <v>148</v>
      </c>
      <c r="E732" t="s">
        <v>149</v>
      </c>
      <c r="F732" t="s">
        <v>564</v>
      </c>
      <c r="G732">
        <v>30</v>
      </c>
      <c r="H732" t="s">
        <v>143</v>
      </c>
      <c r="I732" t="s">
        <v>568</v>
      </c>
      <c r="J732">
        <v>33333</v>
      </c>
      <c r="K732">
        <v>21</v>
      </c>
      <c r="L732">
        <f>VLOOKUP(Merge1[[#This Row],[제품코드]],공정중_우선순위[[제품코드]:[우선순위]],4,0)</f>
        <v>1</v>
      </c>
      <c r="M732" s="10" t="str">
        <f>_xlfn.TEXTJOIN(CHAR(10), TRUE, ,Merge1[[#This Row],[제품명]],Merge1[[#This Row],[오더번호]],Merge1[[#This Row],[제조번호]],Merge1[[#This Row],[지시수량]])</f>
        <v>안탁스캡슐180MG 30C (병)
1015664
A002813
33333</v>
      </c>
    </row>
    <row r="733" spans="1:13" ht="54" x14ac:dyDescent="0.25">
      <c r="A733" t="s">
        <v>559</v>
      </c>
      <c r="B733" t="s">
        <v>235</v>
      </c>
      <c r="C733" t="s">
        <v>566</v>
      </c>
      <c r="D733" t="s">
        <v>148</v>
      </c>
      <c r="E733" t="s">
        <v>149</v>
      </c>
      <c r="F733" t="s">
        <v>567</v>
      </c>
      <c r="G733">
        <v>30</v>
      </c>
      <c r="H733" t="s">
        <v>143</v>
      </c>
      <c r="I733" t="s">
        <v>568</v>
      </c>
      <c r="J733">
        <v>33333</v>
      </c>
      <c r="K733">
        <v>21</v>
      </c>
      <c r="L733">
        <f>VLOOKUP(Merge1[[#This Row],[제품코드]],공정중_우선순위[[제품코드]:[우선순위]],4,0)</f>
        <v>1</v>
      </c>
      <c r="M733" s="10" t="str">
        <f>_xlfn.TEXTJOIN(CHAR(10), TRUE, ,Merge1[[#This Row],[제품명]],Merge1[[#This Row],[오더번호]],Merge1[[#This Row],[제조번호]],Merge1[[#This Row],[지시수량]])</f>
        <v>안탁스캡슐180MG 30C (병)
1015665
A002814
33333</v>
      </c>
    </row>
    <row r="734" spans="1:13" ht="67.5" x14ac:dyDescent="0.25">
      <c r="A734" t="s">
        <v>559</v>
      </c>
      <c r="B734" t="s">
        <v>317</v>
      </c>
      <c r="C734" t="s">
        <v>609</v>
      </c>
      <c r="D734" t="s">
        <v>156</v>
      </c>
      <c r="E734" t="s">
        <v>157</v>
      </c>
      <c r="F734" t="s">
        <v>610</v>
      </c>
      <c r="G734">
        <v>10</v>
      </c>
      <c r="H734" t="s">
        <v>142</v>
      </c>
      <c r="I734" t="s">
        <v>565</v>
      </c>
      <c r="J734">
        <v>1600</v>
      </c>
      <c r="K734">
        <v>6</v>
      </c>
      <c r="L734">
        <f>VLOOKUP(Merge1[[#This Row],[제품코드]],공정중_우선순위[[제품코드]:[우선순위]],4,0)</f>
        <v>2</v>
      </c>
      <c r="M734" s="10" t="str">
        <f>_xlfn.TEXTJOIN(CHAR(10), TRUE, ,Merge1[[#This Row],[제품명]],Merge1[[#This Row],[오더번호]],Merge1[[#This Row],[제조번호]],Merge1[[#This Row],[지시수량]])</f>
        <v>엑소닌CR서방정75MG 500T (병)(SK)
1015705
92502
1600</v>
      </c>
    </row>
    <row r="735" spans="1:13" ht="67.5" x14ac:dyDescent="0.25">
      <c r="A735" t="s">
        <v>559</v>
      </c>
      <c r="B735" t="s">
        <v>317</v>
      </c>
      <c r="C735" t="s">
        <v>611</v>
      </c>
      <c r="D735" t="s">
        <v>156</v>
      </c>
      <c r="E735" t="s">
        <v>157</v>
      </c>
      <c r="F735" t="s">
        <v>612</v>
      </c>
      <c r="G735">
        <v>10</v>
      </c>
      <c r="H735" t="s">
        <v>142</v>
      </c>
      <c r="I735" t="s">
        <v>565</v>
      </c>
      <c r="J735">
        <v>1600</v>
      </c>
      <c r="K735">
        <v>6</v>
      </c>
      <c r="L735">
        <f>VLOOKUP(Merge1[[#This Row],[제품코드]],공정중_우선순위[[제품코드]:[우선순위]],4,0)</f>
        <v>2</v>
      </c>
      <c r="M735" s="10" t="str">
        <f>_xlfn.TEXTJOIN(CHAR(10), TRUE, ,Merge1[[#This Row],[제품명]],Merge1[[#This Row],[오더번호]],Merge1[[#This Row],[제조번호]],Merge1[[#This Row],[지시수량]])</f>
        <v>엑소닌CR서방정75MG 500T (병)(SK)
1015706
112502
1600</v>
      </c>
    </row>
    <row r="736" spans="1:13" ht="67.5" x14ac:dyDescent="0.25">
      <c r="A736" t="s">
        <v>559</v>
      </c>
      <c r="B736" t="s">
        <v>317</v>
      </c>
      <c r="C736" t="s">
        <v>613</v>
      </c>
      <c r="D736" t="s">
        <v>156</v>
      </c>
      <c r="E736" t="s">
        <v>157</v>
      </c>
      <c r="F736" t="s">
        <v>614</v>
      </c>
      <c r="G736">
        <v>10</v>
      </c>
      <c r="H736" t="s">
        <v>142</v>
      </c>
      <c r="I736" t="s">
        <v>565</v>
      </c>
      <c r="J736">
        <v>1600</v>
      </c>
      <c r="K736">
        <v>6</v>
      </c>
      <c r="L736">
        <f>VLOOKUP(Merge1[[#This Row],[제품코드]],공정중_우선순위[[제품코드]:[우선순위]],4,0)</f>
        <v>2</v>
      </c>
      <c r="M736" s="10" t="str">
        <f>_xlfn.TEXTJOIN(CHAR(10), TRUE, ,Merge1[[#This Row],[제품명]],Merge1[[#This Row],[오더번호]],Merge1[[#This Row],[제조번호]],Merge1[[#This Row],[지시수량]])</f>
        <v>엑소닌CR서방정75MG 500T (병)(SK)
1015707
122502
1600</v>
      </c>
    </row>
    <row r="737" spans="1:13" ht="67.5" x14ac:dyDescent="0.25">
      <c r="A737" t="s">
        <v>559</v>
      </c>
      <c r="B737" t="s">
        <v>317</v>
      </c>
      <c r="C737" t="s">
        <v>609</v>
      </c>
      <c r="D737" t="s">
        <v>156</v>
      </c>
      <c r="E737" t="s">
        <v>157</v>
      </c>
      <c r="F737" t="s">
        <v>610</v>
      </c>
      <c r="G737">
        <v>30</v>
      </c>
      <c r="H737" t="s">
        <v>143</v>
      </c>
      <c r="I737" t="s">
        <v>568</v>
      </c>
      <c r="J737">
        <v>1600</v>
      </c>
      <c r="K737">
        <v>6</v>
      </c>
      <c r="L737">
        <f>VLOOKUP(Merge1[[#This Row],[제품코드]],공정중_우선순위[[제품코드]:[우선순위]],4,0)</f>
        <v>2</v>
      </c>
      <c r="M737" s="10" t="str">
        <f>_xlfn.TEXTJOIN(CHAR(10), TRUE, ,Merge1[[#This Row],[제품명]],Merge1[[#This Row],[오더번호]],Merge1[[#This Row],[제조번호]],Merge1[[#This Row],[지시수량]])</f>
        <v>엑소닌CR서방정75MG 500T (병)(SK)
1015705
92502
1600</v>
      </c>
    </row>
    <row r="738" spans="1:13" ht="67.5" x14ac:dyDescent="0.25">
      <c r="A738" t="s">
        <v>559</v>
      </c>
      <c r="B738" t="s">
        <v>317</v>
      </c>
      <c r="C738" t="s">
        <v>611</v>
      </c>
      <c r="D738" t="s">
        <v>156</v>
      </c>
      <c r="E738" t="s">
        <v>157</v>
      </c>
      <c r="F738" t="s">
        <v>612</v>
      </c>
      <c r="G738">
        <v>30</v>
      </c>
      <c r="H738" t="s">
        <v>143</v>
      </c>
      <c r="I738" t="s">
        <v>568</v>
      </c>
      <c r="J738">
        <v>1600</v>
      </c>
      <c r="K738">
        <v>6</v>
      </c>
      <c r="L738">
        <f>VLOOKUP(Merge1[[#This Row],[제품코드]],공정중_우선순위[[제품코드]:[우선순위]],4,0)</f>
        <v>2</v>
      </c>
      <c r="M738" s="10" t="str">
        <f>_xlfn.TEXTJOIN(CHAR(10), TRUE, ,Merge1[[#This Row],[제품명]],Merge1[[#This Row],[오더번호]],Merge1[[#This Row],[제조번호]],Merge1[[#This Row],[지시수량]])</f>
        <v>엑소닌CR서방정75MG 500T (병)(SK)
1015706
112502
1600</v>
      </c>
    </row>
    <row r="739" spans="1:13" ht="67.5" x14ac:dyDescent="0.25">
      <c r="A739" t="s">
        <v>559</v>
      </c>
      <c r="B739" t="s">
        <v>317</v>
      </c>
      <c r="C739" t="s">
        <v>613</v>
      </c>
      <c r="D739" t="s">
        <v>156</v>
      </c>
      <c r="E739" t="s">
        <v>157</v>
      </c>
      <c r="F739" t="s">
        <v>614</v>
      </c>
      <c r="G739">
        <v>30</v>
      </c>
      <c r="H739" t="s">
        <v>143</v>
      </c>
      <c r="I739" t="s">
        <v>568</v>
      </c>
      <c r="J739">
        <v>1600</v>
      </c>
      <c r="K739">
        <v>6</v>
      </c>
      <c r="L739">
        <f>VLOOKUP(Merge1[[#This Row],[제품코드]],공정중_우선순위[[제품코드]:[우선순위]],4,0)</f>
        <v>2</v>
      </c>
      <c r="M739" s="10" t="str">
        <f>_xlfn.TEXTJOIN(CHAR(10), TRUE, ,Merge1[[#This Row],[제품명]],Merge1[[#This Row],[오더번호]],Merge1[[#This Row],[제조번호]],Merge1[[#This Row],[지시수량]])</f>
        <v>엑소닌CR서방정75MG 500T (병)(SK)
1015707
122502
1600</v>
      </c>
    </row>
    <row r="740" spans="1:13" ht="67.5" x14ac:dyDescent="0.25">
      <c r="A740" t="s">
        <v>559</v>
      </c>
      <c r="B740" t="s">
        <v>317</v>
      </c>
      <c r="C740" t="s">
        <v>607</v>
      </c>
      <c r="D740" t="s">
        <v>154</v>
      </c>
      <c r="E740" t="s">
        <v>155</v>
      </c>
      <c r="F740" t="s">
        <v>608</v>
      </c>
      <c r="G740">
        <v>10</v>
      </c>
      <c r="H740" t="s">
        <v>142</v>
      </c>
      <c r="I740" t="s">
        <v>565</v>
      </c>
      <c r="J740">
        <v>26666</v>
      </c>
      <c r="K740">
        <v>16</v>
      </c>
      <c r="L740">
        <f>VLOOKUP(Merge1[[#This Row],[제품코드]],공정중_우선순위[[제품코드]:[우선순위]],4,0)</f>
        <v>3</v>
      </c>
      <c r="M740" s="10" t="str">
        <f>_xlfn.TEXTJOIN(CHAR(10), TRUE, ,Merge1[[#This Row],[제품명]],Merge1[[#This Row],[오더번호]],Merge1[[#This Row],[제조번호]],Merge1[[#This Row],[지시수량]])</f>
        <v>엑소닌CR서방정75MG 30T (병)(SK)
1015708
102501
26666</v>
      </c>
    </row>
    <row r="741" spans="1:13" ht="67.5" x14ac:dyDescent="0.25">
      <c r="A741" t="s">
        <v>559</v>
      </c>
      <c r="B741" t="s">
        <v>317</v>
      </c>
      <c r="C741" t="s">
        <v>607</v>
      </c>
      <c r="D741" t="s">
        <v>154</v>
      </c>
      <c r="E741" t="s">
        <v>155</v>
      </c>
      <c r="F741" t="s">
        <v>608</v>
      </c>
      <c r="G741">
        <v>30</v>
      </c>
      <c r="H741" t="s">
        <v>143</v>
      </c>
      <c r="I741" t="s">
        <v>568</v>
      </c>
      <c r="J741">
        <v>26666</v>
      </c>
      <c r="K741">
        <v>16</v>
      </c>
      <c r="L741">
        <f>VLOOKUP(Merge1[[#This Row],[제품코드]],공정중_우선순위[[제품코드]:[우선순위]],4,0)</f>
        <v>3</v>
      </c>
      <c r="M741" s="10" t="str">
        <f>_xlfn.TEXTJOIN(CHAR(10), TRUE, ,Merge1[[#This Row],[제품명]],Merge1[[#This Row],[오더번호]],Merge1[[#This Row],[제조번호]],Merge1[[#This Row],[지시수량]])</f>
        <v>엑소닌CR서방정75MG 30T (병)(SK)
1015708
102501
26666</v>
      </c>
    </row>
    <row r="742" spans="1:13" ht="67.5" x14ac:dyDescent="0.25">
      <c r="A742" t="s">
        <v>559</v>
      </c>
      <c r="B742" t="s">
        <v>317</v>
      </c>
      <c r="C742" t="s">
        <v>615</v>
      </c>
      <c r="D742" t="s">
        <v>158</v>
      </c>
      <c r="E742" t="s">
        <v>159</v>
      </c>
      <c r="F742" t="s">
        <v>616</v>
      </c>
      <c r="G742">
        <v>10</v>
      </c>
      <c r="H742" t="s">
        <v>142</v>
      </c>
      <c r="I742" t="s">
        <v>561</v>
      </c>
      <c r="J742">
        <v>1600</v>
      </c>
      <c r="K742">
        <v>6</v>
      </c>
      <c r="L742">
        <f>VLOOKUP(Merge1[[#This Row],[제품코드]],공정중_우선순위[[제품코드]:[우선순위]],4,0)</f>
        <v>4</v>
      </c>
      <c r="M742" s="10" t="str">
        <f>_xlfn.TEXTJOIN(CHAR(10), TRUE, ,Merge1[[#This Row],[제품명]],Merge1[[#This Row],[오더번호]],Merge1[[#This Row],[제조번호]],Merge1[[#This Row],[지시수량]])</f>
        <v>에페라SR정75MG 500T (병)(하나제약)
1015640
25008
1600</v>
      </c>
    </row>
    <row r="743" spans="1:13" ht="67.5" x14ac:dyDescent="0.25">
      <c r="A743" t="s">
        <v>559</v>
      </c>
      <c r="B743" t="s">
        <v>317</v>
      </c>
      <c r="C743" t="s">
        <v>615</v>
      </c>
      <c r="D743" t="s">
        <v>158</v>
      </c>
      <c r="E743" t="s">
        <v>159</v>
      </c>
      <c r="F743" t="s">
        <v>616</v>
      </c>
      <c r="G743">
        <v>30</v>
      </c>
      <c r="H743" t="s">
        <v>143</v>
      </c>
      <c r="I743" t="s">
        <v>562</v>
      </c>
      <c r="J743">
        <v>1600</v>
      </c>
      <c r="K743">
        <v>6</v>
      </c>
      <c r="L743">
        <f>VLOOKUP(Merge1[[#This Row],[제품코드]],공정중_우선순위[[제품코드]:[우선순위]],4,0)</f>
        <v>4</v>
      </c>
      <c r="M743" s="10" t="str">
        <f>_xlfn.TEXTJOIN(CHAR(10), TRUE, ,Merge1[[#This Row],[제품명]],Merge1[[#This Row],[오더번호]],Merge1[[#This Row],[제조번호]],Merge1[[#This Row],[지시수량]])</f>
        <v>에페라SR정75MG 500T (병)(하나제약)
1015640
25008
1600</v>
      </c>
    </row>
    <row r="744" spans="1:13" ht="67.5" x14ac:dyDescent="0.25">
      <c r="A744" t="s">
        <v>559</v>
      </c>
      <c r="B744" t="s">
        <v>317</v>
      </c>
      <c r="C744" t="s">
        <v>617</v>
      </c>
      <c r="D744" t="s">
        <v>160</v>
      </c>
      <c r="E744" t="s">
        <v>161</v>
      </c>
      <c r="F744" t="s">
        <v>618</v>
      </c>
      <c r="G744">
        <v>10</v>
      </c>
      <c r="H744" t="s">
        <v>142</v>
      </c>
      <c r="I744" t="s">
        <v>561</v>
      </c>
      <c r="J744">
        <v>1600</v>
      </c>
      <c r="K744">
        <v>6</v>
      </c>
      <c r="L744">
        <f>VLOOKUP(Merge1[[#This Row],[제품코드]],공정중_우선순위[[제품코드]:[우선순위]],4,0)</f>
        <v>5</v>
      </c>
      <c r="M744" s="10" t="str">
        <f>_xlfn.TEXTJOIN(CHAR(10), TRUE, ,Merge1[[#This Row],[제품명]],Merge1[[#This Row],[오더번호]],Merge1[[#This Row],[제조번호]],Merge1[[#This Row],[지시수량]])</f>
        <v>에페신SR정75MG 500T (병)(명문제약)
1015700
25035
1600</v>
      </c>
    </row>
    <row r="745" spans="1:13" ht="67.5" x14ac:dyDescent="0.25">
      <c r="A745" t="s">
        <v>559</v>
      </c>
      <c r="B745" t="s">
        <v>317</v>
      </c>
      <c r="C745" t="s">
        <v>619</v>
      </c>
      <c r="D745" t="s">
        <v>160</v>
      </c>
      <c r="E745" t="s">
        <v>161</v>
      </c>
      <c r="F745" t="s">
        <v>620</v>
      </c>
      <c r="G745">
        <v>10</v>
      </c>
      <c r="H745" t="s">
        <v>142</v>
      </c>
      <c r="I745" t="s">
        <v>561</v>
      </c>
      <c r="J745">
        <v>1600</v>
      </c>
      <c r="K745">
        <v>6</v>
      </c>
      <c r="L745">
        <f>VLOOKUP(Merge1[[#This Row],[제품코드]],공정중_우선순위[[제품코드]:[우선순위]],4,0)</f>
        <v>5</v>
      </c>
      <c r="M745" s="10" t="str">
        <f>_xlfn.TEXTJOIN(CHAR(10), TRUE, ,Merge1[[#This Row],[제품명]],Merge1[[#This Row],[오더번호]],Merge1[[#This Row],[제조번호]],Merge1[[#This Row],[지시수량]])</f>
        <v>에페신SR정75MG 500T (병)(명문제약)
1015701
25036
1600</v>
      </c>
    </row>
    <row r="746" spans="1:13" ht="67.5" x14ac:dyDescent="0.25">
      <c r="A746" t="s">
        <v>559</v>
      </c>
      <c r="B746" t="s">
        <v>317</v>
      </c>
      <c r="C746" t="s">
        <v>621</v>
      </c>
      <c r="D746" t="s">
        <v>160</v>
      </c>
      <c r="E746" t="s">
        <v>161</v>
      </c>
      <c r="F746" t="s">
        <v>622</v>
      </c>
      <c r="G746">
        <v>10</v>
      </c>
      <c r="H746" t="s">
        <v>142</v>
      </c>
      <c r="I746" t="s">
        <v>561</v>
      </c>
      <c r="J746">
        <v>1600</v>
      </c>
      <c r="K746">
        <v>6</v>
      </c>
      <c r="L746">
        <f>VLOOKUP(Merge1[[#This Row],[제품코드]],공정중_우선순위[[제품코드]:[우선순위]],4,0)</f>
        <v>5</v>
      </c>
      <c r="M746" s="10" t="str">
        <f>_xlfn.TEXTJOIN(CHAR(10), TRUE, ,Merge1[[#This Row],[제품명]],Merge1[[#This Row],[오더번호]],Merge1[[#This Row],[제조번호]],Merge1[[#This Row],[지시수량]])</f>
        <v>에페신SR정75MG 500T (병)(명문제약)
1015702
25037
1600</v>
      </c>
    </row>
    <row r="747" spans="1:13" ht="67.5" x14ac:dyDescent="0.25">
      <c r="A747" t="s">
        <v>559</v>
      </c>
      <c r="B747" t="s">
        <v>317</v>
      </c>
      <c r="C747" t="s">
        <v>623</v>
      </c>
      <c r="D747" t="s">
        <v>160</v>
      </c>
      <c r="E747" t="s">
        <v>161</v>
      </c>
      <c r="F747" t="s">
        <v>624</v>
      </c>
      <c r="G747">
        <v>10</v>
      </c>
      <c r="H747" t="s">
        <v>142</v>
      </c>
      <c r="I747" t="s">
        <v>561</v>
      </c>
      <c r="J747">
        <v>1600</v>
      </c>
      <c r="K747">
        <v>6</v>
      </c>
      <c r="L747">
        <f>VLOOKUP(Merge1[[#This Row],[제품코드]],공정중_우선순위[[제품코드]:[우선순위]],4,0)</f>
        <v>5</v>
      </c>
      <c r="M747" s="10" t="str">
        <f>_xlfn.TEXTJOIN(CHAR(10), TRUE, ,Merge1[[#This Row],[제품명]],Merge1[[#This Row],[오더번호]],Merge1[[#This Row],[제조번호]],Merge1[[#This Row],[지시수량]])</f>
        <v>에페신SR정75MG 500T (병)(명문제약)
1015703
25038
1600</v>
      </c>
    </row>
    <row r="748" spans="1:13" ht="67.5" x14ac:dyDescent="0.25">
      <c r="A748" t="s">
        <v>559</v>
      </c>
      <c r="B748" t="s">
        <v>317</v>
      </c>
      <c r="C748" t="s">
        <v>625</v>
      </c>
      <c r="D748" t="s">
        <v>160</v>
      </c>
      <c r="E748" t="s">
        <v>161</v>
      </c>
      <c r="F748" t="s">
        <v>626</v>
      </c>
      <c r="G748">
        <v>10</v>
      </c>
      <c r="H748" t="s">
        <v>142</v>
      </c>
      <c r="I748" t="s">
        <v>561</v>
      </c>
      <c r="J748">
        <v>1600</v>
      </c>
      <c r="K748">
        <v>6</v>
      </c>
      <c r="L748">
        <f>VLOOKUP(Merge1[[#This Row],[제품코드]],공정중_우선순위[[제품코드]:[우선순위]],4,0)</f>
        <v>5</v>
      </c>
      <c r="M748" s="10" t="str">
        <f>_xlfn.TEXTJOIN(CHAR(10), TRUE, ,Merge1[[#This Row],[제품명]],Merge1[[#This Row],[오더번호]],Merge1[[#This Row],[제조번호]],Merge1[[#This Row],[지시수량]])</f>
        <v>에페신SR정75MG 500T (병)(명문제약)
1015704
25039
1600</v>
      </c>
    </row>
    <row r="749" spans="1:13" ht="67.5" x14ac:dyDescent="0.25">
      <c r="A749" t="s">
        <v>559</v>
      </c>
      <c r="B749" t="s">
        <v>317</v>
      </c>
      <c r="C749" t="s">
        <v>617</v>
      </c>
      <c r="D749" t="s">
        <v>160</v>
      </c>
      <c r="E749" t="s">
        <v>161</v>
      </c>
      <c r="F749" t="s">
        <v>618</v>
      </c>
      <c r="G749">
        <v>30</v>
      </c>
      <c r="H749" t="s">
        <v>143</v>
      </c>
      <c r="I749" t="s">
        <v>562</v>
      </c>
      <c r="J749">
        <v>1600</v>
      </c>
      <c r="K749">
        <v>6</v>
      </c>
      <c r="L749">
        <f>VLOOKUP(Merge1[[#This Row],[제품코드]],공정중_우선순위[[제품코드]:[우선순위]],4,0)</f>
        <v>5</v>
      </c>
      <c r="M749" s="10" t="str">
        <f>_xlfn.TEXTJOIN(CHAR(10), TRUE, ,Merge1[[#This Row],[제품명]],Merge1[[#This Row],[오더번호]],Merge1[[#This Row],[제조번호]],Merge1[[#This Row],[지시수량]])</f>
        <v>에페신SR정75MG 500T (병)(명문제약)
1015700
25035
1600</v>
      </c>
    </row>
    <row r="750" spans="1:13" ht="67.5" x14ac:dyDescent="0.25">
      <c r="A750" t="s">
        <v>559</v>
      </c>
      <c r="B750" t="s">
        <v>317</v>
      </c>
      <c r="C750" t="s">
        <v>619</v>
      </c>
      <c r="D750" t="s">
        <v>160</v>
      </c>
      <c r="E750" t="s">
        <v>161</v>
      </c>
      <c r="F750" t="s">
        <v>620</v>
      </c>
      <c r="G750">
        <v>30</v>
      </c>
      <c r="H750" t="s">
        <v>143</v>
      </c>
      <c r="I750" t="s">
        <v>562</v>
      </c>
      <c r="J750">
        <v>1600</v>
      </c>
      <c r="K750">
        <v>6</v>
      </c>
      <c r="L750">
        <f>VLOOKUP(Merge1[[#This Row],[제품코드]],공정중_우선순위[[제품코드]:[우선순위]],4,0)</f>
        <v>5</v>
      </c>
      <c r="M750" s="10" t="str">
        <f>_xlfn.TEXTJOIN(CHAR(10), TRUE, ,Merge1[[#This Row],[제품명]],Merge1[[#This Row],[오더번호]],Merge1[[#This Row],[제조번호]],Merge1[[#This Row],[지시수량]])</f>
        <v>에페신SR정75MG 500T (병)(명문제약)
1015701
25036
1600</v>
      </c>
    </row>
    <row r="751" spans="1:13" ht="67.5" x14ac:dyDescent="0.25">
      <c r="A751" t="s">
        <v>559</v>
      </c>
      <c r="B751" t="s">
        <v>317</v>
      </c>
      <c r="C751" t="s">
        <v>621</v>
      </c>
      <c r="D751" t="s">
        <v>160</v>
      </c>
      <c r="E751" t="s">
        <v>161</v>
      </c>
      <c r="F751" t="s">
        <v>622</v>
      </c>
      <c r="G751">
        <v>30</v>
      </c>
      <c r="H751" t="s">
        <v>143</v>
      </c>
      <c r="I751" t="s">
        <v>562</v>
      </c>
      <c r="J751">
        <v>1600</v>
      </c>
      <c r="K751">
        <v>6</v>
      </c>
      <c r="L751">
        <f>VLOOKUP(Merge1[[#This Row],[제품코드]],공정중_우선순위[[제품코드]:[우선순위]],4,0)</f>
        <v>5</v>
      </c>
      <c r="M751" s="10" t="str">
        <f>_xlfn.TEXTJOIN(CHAR(10), TRUE, ,Merge1[[#This Row],[제품명]],Merge1[[#This Row],[오더번호]],Merge1[[#This Row],[제조번호]],Merge1[[#This Row],[지시수량]])</f>
        <v>에페신SR정75MG 500T (병)(명문제약)
1015702
25037
1600</v>
      </c>
    </row>
    <row r="752" spans="1:13" ht="67.5" x14ac:dyDescent="0.25">
      <c r="A752" t="s">
        <v>559</v>
      </c>
      <c r="B752" t="s">
        <v>317</v>
      </c>
      <c r="C752" t="s">
        <v>623</v>
      </c>
      <c r="D752" t="s">
        <v>160</v>
      </c>
      <c r="E752" t="s">
        <v>161</v>
      </c>
      <c r="F752" t="s">
        <v>624</v>
      </c>
      <c r="G752">
        <v>30</v>
      </c>
      <c r="H752" t="s">
        <v>143</v>
      </c>
      <c r="I752" t="s">
        <v>562</v>
      </c>
      <c r="J752">
        <v>1600</v>
      </c>
      <c r="K752">
        <v>6</v>
      </c>
      <c r="L752">
        <f>VLOOKUP(Merge1[[#This Row],[제품코드]],공정중_우선순위[[제품코드]:[우선순위]],4,0)</f>
        <v>5</v>
      </c>
      <c r="M752" s="10" t="str">
        <f>_xlfn.TEXTJOIN(CHAR(10), TRUE, ,Merge1[[#This Row],[제품명]],Merge1[[#This Row],[오더번호]],Merge1[[#This Row],[제조번호]],Merge1[[#This Row],[지시수량]])</f>
        <v>에페신SR정75MG 500T (병)(명문제약)
1015703
25038
1600</v>
      </c>
    </row>
    <row r="753" spans="1:13" ht="67.5" x14ac:dyDescent="0.25">
      <c r="A753" t="s">
        <v>559</v>
      </c>
      <c r="B753" t="s">
        <v>317</v>
      </c>
      <c r="C753" t="s">
        <v>625</v>
      </c>
      <c r="D753" t="s">
        <v>160</v>
      </c>
      <c r="E753" t="s">
        <v>161</v>
      </c>
      <c r="F753" t="s">
        <v>626</v>
      </c>
      <c r="G753">
        <v>30</v>
      </c>
      <c r="H753" t="s">
        <v>143</v>
      </c>
      <c r="I753" t="s">
        <v>562</v>
      </c>
      <c r="J753">
        <v>1600</v>
      </c>
      <c r="K753">
        <v>6</v>
      </c>
      <c r="L753">
        <f>VLOOKUP(Merge1[[#This Row],[제품코드]],공정중_우선순위[[제품코드]:[우선순위]],4,0)</f>
        <v>5</v>
      </c>
      <c r="M753" s="10" t="str">
        <f>_xlfn.TEXTJOIN(CHAR(10), TRUE, ,Merge1[[#This Row],[제품명]],Merge1[[#This Row],[오더번호]],Merge1[[#This Row],[제조번호]],Merge1[[#This Row],[지시수량]])</f>
        <v>에페신SR정75MG 500T (병)(명문제약)
1015704
25039
1600</v>
      </c>
    </row>
    <row r="754" spans="1:13" ht="54" x14ac:dyDescent="0.25">
      <c r="A754" t="s">
        <v>559</v>
      </c>
      <c r="B754" t="s">
        <v>285</v>
      </c>
      <c r="C754" t="s">
        <v>295</v>
      </c>
      <c r="D754" t="s">
        <v>146</v>
      </c>
      <c r="E754" t="s">
        <v>147</v>
      </c>
      <c r="F754" t="s">
        <v>560</v>
      </c>
      <c r="G754">
        <v>10</v>
      </c>
      <c r="H754" t="s">
        <v>142</v>
      </c>
      <c r="I754" t="s">
        <v>561</v>
      </c>
      <c r="J754">
        <v>2000</v>
      </c>
      <c r="K754">
        <v>6</v>
      </c>
      <c r="L754">
        <f>VLOOKUP(Merge1[[#This Row],[제품코드]],공정중_우선순위[[제품코드]:[우선순위]],4,0)</f>
        <v>6</v>
      </c>
      <c r="M754" s="10" t="str">
        <f>_xlfn.TEXTJOIN(CHAR(10), TRUE, ,Merge1[[#This Row],[제품명]],Merge1[[#This Row],[오더번호]],Merge1[[#This Row],[제조번호]],Merge1[[#This Row],[지시수량]])</f>
        <v>엑손정50MG 500T (병)
1015628
A002835
2000</v>
      </c>
    </row>
    <row r="755" spans="1:13" ht="54" x14ac:dyDescent="0.25">
      <c r="A755" t="s">
        <v>559</v>
      </c>
      <c r="B755" t="s">
        <v>285</v>
      </c>
      <c r="C755" t="s">
        <v>295</v>
      </c>
      <c r="D755" t="s">
        <v>146</v>
      </c>
      <c r="E755" t="s">
        <v>147</v>
      </c>
      <c r="F755" t="s">
        <v>560</v>
      </c>
      <c r="G755">
        <v>30</v>
      </c>
      <c r="H755" t="s">
        <v>143</v>
      </c>
      <c r="I755" t="s">
        <v>562</v>
      </c>
      <c r="J755">
        <v>2000</v>
      </c>
      <c r="K755">
        <v>6</v>
      </c>
      <c r="L755">
        <f>VLOOKUP(Merge1[[#This Row],[제품코드]],공정중_우선순위[[제품코드]:[우선순위]],4,0)</f>
        <v>6</v>
      </c>
      <c r="M755" s="10" t="str">
        <f>_xlfn.TEXTJOIN(CHAR(10), TRUE, ,Merge1[[#This Row],[제품명]],Merge1[[#This Row],[오더번호]],Merge1[[#This Row],[제조번호]],Merge1[[#This Row],[지시수량]])</f>
        <v>엑손정50MG 500T (병)
1015628
A002835
2000</v>
      </c>
    </row>
    <row r="756" spans="1:13" ht="67.5" x14ac:dyDescent="0.25">
      <c r="A756" t="s">
        <v>697</v>
      </c>
      <c r="B756" t="s">
        <v>468</v>
      </c>
      <c r="C756" t="s">
        <v>698</v>
      </c>
      <c r="D756" t="s">
        <v>185</v>
      </c>
      <c r="E756" t="s">
        <v>186</v>
      </c>
      <c r="F756" t="s">
        <v>699</v>
      </c>
      <c r="G756">
        <v>20</v>
      </c>
      <c r="H756" t="s">
        <v>139</v>
      </c>
      <c r="I756" t="s">
        <v>700</v>
      </c>
      <c r="J756">
        <v>6666</v>
      </c>
      <c r="K756">
        <v>21</v>
      </c>
      <c r="L756">
        <f>VLOOKUP(Merge1[[#This Row],[제품코드]],공정중_우선순위[[제품코드]:[우선순위]],4,0)</f>
        <v>1</v>
      </c>
      <c r="M756" s="10" t="str">
        <f>_xlfn.TEXTJOIN(CHAR(10), TRUE, ,Merge1[[#This Row],[제품명]],Merge1[[#This Row],[오더번호]],Merge1[[#This Row],[제조번호]],Merge1[[#This Row],[지시수량]])</f>
        <v>다파릴듀오서방정10/1000mg 30정 (PTP)
1015668
A002885
6666</v>
      </c>
    </row>
    <row r="757" spans="1:13" ht="67.5" x14ac:dyDescent="0.25">
      <c r="A757" t="s">
        <v>697</v>
      </c>
      <c r="B757" t="s">
        <v>468</v>
      </c>
      <c r="C757" t="s">
        <v>701</v>
      </c>
      <c r="D757" t="s">
        <v>185</v>
      </c>
      <c r="E757" t="s">
        <v>186</v>
      </c>
      <c r="F757" t="s">
        <v>702</v>
      </c>
      <c r="G757">
        <v>20</v>
      </c>
      <c r="H757" t="s">
        <v>139</v>
      </c>
      <c r="I757" t="s">
        <v>700</v>
      </c>
      <c r="J757">
        <v>6666</v>
      </c>
      <c r="K757">
        <v>21</v>
      </c>
      <c r="L757">
        <f>VLOOKUP(Merge1[[#This Row],[제품코드]],공정중_우선순위[[제품코드]:[우선순위]],4,0)</f>
        <v>1</v>
      </c>
      <c r="M757" s="10" t="str">
        <f>_xlfn.TEXTJOIN(CHAR(10), TRUE, ,Merge1[[#This Row],[제품명]],Merge1[[#This Row],[오더번호]],Merge1[[#This Row],[제조번호]],Merge1[[#This Row],[지시수량]])</f>
        <v>다파릴듀오서방정10/1000mg 30정 (PTP)
1015669
A002886
6666</v>
      </c>
    </row>
    <row r="758" spans="1:13" ht="67.5" x14ac:dyDescent="0.25">
      <c r="A758" t="s">
        <v>697</v>
      </c>
      <c r="B758" t="s">
        <v>468</v>
      </c>
      <c r="C758" t="s">
        <v>703</v>
      </c>
      <c r="D758" t="s">
        <v>185</v>
      </c>
      <c r="E758" t="s">
        <v>186</v>
      </c>
      <c r="F758" t="s">
        <v>704</v>
      </c>
      <c r="G758">
        <v>20</v>
      </c>
      <c r="H758" t="s">
        <v>139</v>
      </c>
      <c r="I758" t="s">
        <v>700</v>
      </c>
      <c r="J758">
        <v>6666</v>
      </c>
      <c r="K758">
        <v>21</v>
      </c>
      <c r="L758">
        <f>VLOOKUP(Merge1[[#This Row],[제품코드]],공정중_우선순위[[제품코드]:[우선순위]],4,0)</f>
        <v>1</v>
      </c>
      <c r="M758" s="10" t="str">
        <f>_xlfn.TEXTJOIN(CHAR(10), TRUE, ,Merge1[[#This Row],[제품명]],Merge1[[#This Row],[오더번호]],Merge1[[#This Row],[제조번호]],Merge1[[#This Row],[지시수량]])</f>
        <v>다파릴듀오서방정10/1000mg 30정 (PTP)
1015670
A002895
6666</v>
      </c>
    </row>
    <row r="759" spans="1:13" ht="67.5" x14ac:dyDescent="0.25">
      <c r="A759" t="s">
        <v>697</v>
      </c>
      <c r="B759" t="s">
        <v>468</v>
      </c>
      <c r="C759" t="s">
        <v>698</v>
      </c>
      <c r="D759" t="s">
        <v>185</v>
      </c>
      <c r="E759" t="s">
        <v>186</v>
      </c>
      <c r="F759" t="s">
        <v>699</v>
      </c>
      <c r="G759">
        <v>20</v>
      </c>
      <c r="H759" t="s">
        <v>139</v>
      </c>
      <c r="I759" t="s">
        <v>700</v>
      </c>
      <c r="J759">
        <v>6666</v>
      </c>
      <c r="K759">
        <v>21</v>
      </c>
      <c r="L759">
        <f>VLOOKUP(Merge1[[#This Row],[제품코드]],공정중_우선순위[[제품코드]:[우선순위]],4,0)</f>
        <v>1</v>
      </c>
      <c r="M759" s="10" t="str">
        <f>_xlfn.TEXTJOIN(CHAR(10), TRUE, ,Merge1[[#This Row],[제품명]],Merge1[[#This Row],[오더번호]],Merge1[[#This Row],[제조번호]],Merge1[[#This Row],[지시수량]])</f>
        <v>다파릴듀오서방정10/1000mg 30정 (PTP)
1015668
A002885
6666</v>
      </c>
    </row>
    <row r="760" spans="1:13" ht="67.5" x14ac:dyDescent="0.25">
      <c r="A760" t="s">
        <v>697</v>
      </c>
      <c r="B760" t="s">
        <v>468</v>
      </c>
      <c r="C760" t="s">
        <v>701</v>
      </c>
      <c r="D760" t="s">
        <v>185</v>
      </c>
      <c r="E760" t="s">
        <v>186</v>
      </c>
      <c r="F760" t="s">
        <v>702</v>
      </c>
      <c r="G760">
        <v>20</v>
      </c>
      <c r="H760" t="s">
        <v>139</v>
      </c>
      <c r="I760" t="s">
        <v>700</v>
      </c>
      <c r="J760">
        <v>6666</v>
      </c>
      <c r="K760">
        <v>21</v>
      </c>
      <c r="L760">
        <f>VLOOKUP(Merge1[[#This Row],[제품코드]],공정중_우선순위[[제품코드]:[우선순위]],4,0)</f>
        <v>1</v>
      </c>
      <c r="M760" s="10" t="str">
        <f>_xlfn.TEXTJOIN(CHAR(10), TRUE, ,Merge1[[#This Row],[제품명]],Merge1[[#This Row],[오더번호]],Merge1[[#This Row],[제조번호]],Merge1[[#This Row],[지시수량]])</f>
        <v>다파릴듀오서방정10/1000mg 30정 (PTP)
1015669
A002886
6666</v>
      </c>
    </row>
    <row r="761" spans="1:13" ht="67.5" x14ac:dyDescent="0.25">
      <c r="A761" t="s">
        <v>697</v>
      </c>
      <c r="B761" t="s">
        <v>468</v>
      </c>
      <c r="C761" t="s">
        <v>703</v>
      </c>
      <c r="D761" t="s">
        <v>185</v>
      </c>
      <c r="E761" t="s">
        <v>186</v>
      </c>
      <c r="F761" t="s">
        <v>704</v>
      </c>
      <c r="G761">
        <v>20</v>
      </c>
      <c r="H761" t="s">
        <v>139</v>
      </c>
      <c r="I761" t="s">
        <v>700</v>
      </c>
      <c r="J761">
        <v>6666</v>
      </c>
      <c r="K761">
        <v>21</v>
      </c>
      <c r="L761">
        <f>VLOOKUP(Merge1[[#This Row],[제품코드]],공정중_우선순위[[제품코드]:[우선순위]],4,0)</f>
        <v>1</v>
      </c>
      <c r="M761" s="10" t="str">
        <f>_xlfn.TEXTJOIN(CHAR(10), TRUE, ,Merge1[[#This Row],[제품명]],Merge1[[#This Row],[오더번호]],Merge1[[#This Row],[제조번호]],Merge1[[#This Row],[지시수량]])</f>
        <v>다파릴듀오서방정10/1000mg 30정 (PTP)
1015670
A002895
6666</v>
      </c>
    </row>
    <row r="762" spans="1:13" ht="67.5" x14ac:dyDescent="0.25">
      <c r="A762" t="s">
        <v>697</v>
      </c>
      <c r="B762" t="s">
        <v>468</v>
      </c>
      <c r="C762" t="s">
        <v>698</v>
      </c>
      <c r="D762" t="s">
        <v>185</v>
      </c>
      <c r="E762" t="s">
        <v>186</v>
      </c>
      <c r="F762" t="s">
        <v>699</v>
      </c>
      <c r="G762">
        <v>20</v>
      </c>
      <c r="H762" t="s">
        <v>139</v>
      </c>
      <c r="I762" t="s">
        <v>700</v>
      </c>
      <c r="J762">
        <v>6666</v>
      </c>
      <c r="K762">
        <v>21</v>
      </c>
      <c r="L762">
        <f>VLOOKUP(Merge1[[#This Row],[제품코드]],공정중_우선순위[[제품코드]:[우선순위]],4,0)</f>
        <v>1</v>
      </c>
      <c r="M762" s="10" t="str">
        <f>_xlfn.TEXTJOIN(CHAR(10), TRUE, ,Merge1[[#This Row],[제품명]],Merge1[[#This Row],[오더번호]],Merge1[[#This Row],[제조번호]],Merge1[[#This Row],[지시수량]])</f>
        <v>다파릴듀오서방정10/1000mg 30정 (PTP)
1015668
A002885
6666</v>
      </c>
    </row>
    <row r="763" spans="1:13" ht="67.5" x14ac:dyDescent="0.25">
      <c r="A763" t="s">
        <v>697</v>
      </c>
      <c r="B763" t="s">
        <v>468</v>
      </c>
      <c r="C763" t="s">
        <v>701</v>
      </c>
      <c r="D763" t="s">
        <v>185</v>
      </c>
      <c r="E763" t="s">
        <v>186</v>
      </c>
      <c r="F763" t="s">
        <v>702</v>
      </c>
      <c r="G763">
        <v>20</v>
      </c>
      <c r="H763" t="s">
        <v>139</v>
      </c>
      <c r="I763" t="s">
        <v>700</v>
      </c>
      <c r="J763">
        <v>6666</v>
      </c>
      <c r="K763">
        <v>21</v>
      </c>
      <c r="L763">
        <f>VLOOKUP(Merge1[[#This Row],[제품코드]],공정중_우선순위[[제품코드]:[우선순위]],4,0)</f>
        <v>1</v>
      </c>
      <c r="M763" s="10" t="str">
        <f>_xlfn.TEXTJOIN(CHAR(10), TRUE, ,Merge1[[#This Row],[제품명]],Merge1[[#This Row],[오더번호]],Merge1[[#This Row],[제조번호]],Merge1[[#This Row],[지시수량]])</f>
        <v>다파릴듀오서방정10/1000mg 30정 (PTP)
1015669
A002886
6666</v>
      </c>
    </row>
    <row r="764" spans="1:13" ht="67.5" x14ac:dyDescent="0.25">
      <c r="A764" t="s">
        <v>697</v>
      </c>
      <c r="B764" t="s">
        <v>468</v>
      </c>
      <c r="C764" t="s">
        <v>703</v>
      </c>
      <c r="D764" t="s">
        <v>185</v>
      </c>
      <c r="E764" t="s">
        <v>186</v>
      </c>
      <c r="F764" t="s">
        <v>704</v>
      </c>
      <c r="G764">
        <v>20</v>
      </c>
      <c r="H764" t="s">
        <v>139</v>
      </c>
      <c r="I764" t="s">
        <v>700</v>
      </c>
      <c r="J764">
        <v>6666</v>
      </c>
      <c r="K764">
        <v>21</v>
      </c>
      <c r="L764">
        <f>VLOOKUP(Merge1[[#This Row],[제품코드]],공정중_우선순위[[제품코드]:[우선순위]],4,0)</f>
        <v>1</v>
      </c>
      <c r="M764" s="10" t="str">
        <f>_xlfn.TEXTJOIN(CHAR(10), TRUE, ,Merge1[[#This Row],[제품명]],Merge1[[#This Row],[오더번호]],Merge1[[#This Row],[제조번호]],Merge1[[#This Row],[지시수량]])</f>
        <v>다파릴듀오서방정10/1000mg 30정 (PTP)
1015670
A002895
6666</v>
      </c>
    </row>
    <row r="765" spans="1:13" ht="67.5" x14ac:dyDescent="0.25">
      <c r="A765" t="s">
        <v>697</v>
      </c>
      <c r="B765" t="s">
        <v>468</v>
      </c>
      <c r="C765" t="s">
        <v>698</v>
      </c>
      <c r="D765" t="s">
        <v>185</v>
      </c>
      <c r="E765" t="s">
        <v>186</v>
      </c>
      <c r="F765" t="s">
        <v>699</v>
      </c>
      <c r="G765">
        <v>40</v>
      </c>
      <c r="H765" t="s">
        <v>140</v>
      </c>
      <c r="I765" t="s">
        <v>705</v>
      </c>
      <c r="J765">
        <v>6666</v>
      </c>
      <c r="K765">
        <v>24</v>
      </c>
      <c r="L765">
        <f>VLOOKUP(Merge1[[#This Row],[제품코드]],공정중_우선순위[[제품코드]:[우선순위]],4,0)</f>
        <v>1</v>
      </c>
      <c r="M765" s="10" t="str">
        <f>_xlfn.TEXTJOIN(CHAR(10), TRUE, ,Merge1[[#This Row],[제품명]],Merge1[[#This Row],[오더번호]],Merge1[[#This Row],[제조번호]],Merge1[[#This Row],[지시수량]])</f>
        <v>다파릴듀오서방정10/1000mg 30정 (PTP)
1015668
A002885
6666</v>
      </c>
    </row>
    <row r="766" spans="1:13" ht="67.5" x14ac:dyDescent="0.25">
      <c r="A766" t="s">
        <v>697</v>
      </c>
      <c r="B766" t="s">
        <v>468</v>
      </c>
      <c r="C766" t="s">
        <v>701</v>
      </c>
      <c r="D766" t="s">
        <v>185</v>
      </c>
      <c r="E766" t="s">
        <v>186</v>
      </c>
      <c r="F766" t="s">
        <v>702</v>
      </c>
      <c r="G766">
        <v>40</v>
      </c>
      <c r="H766" t="s">
        <v>140</v>
      </c>
      <c r="I766" t="s">
        <v>705</v>
      </c>
      <c r="J766">
        <v>6666</v>
      </c>
      <c r="K766">
        <v>24</v>
      </c>
      <c r="L766">
        <f>VLOOKUP(Merge1[[#This Row],[제품코드]],공정중_우선순위[[제품코드]:[우선순위]],4,0)</f>
        <v>1</v>
      </c>
      <c r="M766" s="10" t="str">
        <f>_xlfn.TEXTJOIN(CHAR(10), TRUE, ,Merge1[[#This Row],[제품명]],Merge1[[#This Row],[오더번호]],Merge1[[#This Row],[제조번호]],Merge1[[#This Row],[지시수량]])</f>
        <v>다파릴듀오서방정10/1000mg 30정 (PTP)
1015669
A002886
6666</v>
      </c>
    </row>
    <row r="767" spans="1:13" ht="67.5" x14ac:dyDescent="0.25">
      <c r="A767" t="s">
        <v>697</v>
      </c>
      <c r="B767" t="s">
        <v>468</v>
      </c>
      <c r="C767" t="s">
        <v>703</v>
      </c>
      <c r="D767" t="s">
        <v>185</v>
      </c>
      <c r="E767" t="s">
        <v>186</v>
      </c>
      <c r="F767" t="s">
        <v>704</v>
      </c>
      <c r="G767">
        <v>40</v>
      </c>
      <c r="H767" t="s">
        <v>140</v>
      </c>
      <c r="I767" t="s">
        <v>705</v>
      </c>
      <c r="J767">
        <v>6666</v>
      </c>
      <c r="K767">
        <v>24</v>
      </c>
      <c r="L767">
        <f>VLOOKUP(Merge1[[#This Row],[제품코드]],공정중_우선순위[[제품코드]:[우선순위]],4,0)</f>
        <v>1</v>
      </c>
      <c r="M767" s="10" t="str">
        <f>_xlfn.TEXTJOIN(CHAR(10), TRUE, ,Merge1[[#This Row],[제품명]],Merge1[[#This Row],[오더번호]],Merge1[[#This Row],[제조번호]],Merge1[[#This Row],[지시수량]])</f>
        <v>다파릴듀오서방정10/1000mg 30정 (PTP)
1015670
A002895
6666</v>
      </c>
    </row>
    <row r="768" spans="1:13" ht="67.5" x14ac:dyDescent="0.25">
      <c r="A768" t="s">
        <v>697</v>
      </c>
      <c r="B768" t="s">
        <v>468</v>
      </c>
      <c r="C768" t="s">
        <v>698</v>
      </c>
      <c r="D768" t="s">
        <v>185</v>
      </c>
      <c r="E768" t="s">
        <v>186</v>
      </c>
      <c r="F768" t="s">
        <v>699</v>
      </c>
      <c r="G768">
        <v>40</v>
      </c>
      <c r="H768" t="s">
        <v>140</v>
      </c>
      <c r="I768" t="s">
        <v>705</v>
      </c>
      <c r="J768">
        <v>6666</v>
      </c>
      <c r="K768">
        <v>24</v>
      </c>
      <c r="L768">
        <f>VLOOKUP(Merge1[[#This Row],[제품코드]],공정중_우선순위[[제품코드]:[우선순위]],4,0)</f>
        <v>1</v>
      </c>
      <c r="M768" s="10" t="str">
        <f>_xlfn.TEXTJOIN(CHAR(10), TRUE, ,Merge1[[#This Row],[제품명]],Merge1[[#This Row],[오더번호]],Merge1[[#This Row],[제조번호]],Merge1[[#This Row],[지시수량]])</f>
        <v>다파릴듀오서방정10/1000mg 30정 (PTP)
1015668
A002885
6666</v>
      </c>
    </row>
    <row r="769" spans="1:13" ht="67.5" x14ac:dyDescent="0.25">
      <c r="A769" t="s">
        <v>697</v>
      </c>
      <c r="B769" t="s">
        <v>468</v>
      </c>
      <c r="C769" t="s">
        <v>701</v>
      </c>
      <c r="D769" t="s">
        <v>185</v>
      </c>
      <c r="E769" t="s">
        <v>186</v>
      </c>
      <c r="F769" t="s">
        <v>702</v>
      </c>
      <c r="G769">
        <v>40</v>
      </c>
      <c r="H769" t="s">
        <v>140</v>
      </c>
      <c r="I769" t="s">
        <v>705</v>
      </c>
      <c r="J769">
        <v>6666</v>
      </c>
      <c r="K769">
        <v>24</v>
      </c>
      <c r="L769">
        <f>VLOOKUP(Merge1[[#This Row],[제품코드]],공정중_우선순위[[제품코드]:[우선순위]],4,0)</f>
        <v>1</v>
      </c>
      <c r="M769" s="10" t="str">
        <f>_xlfn.TEXTJOIN(CHAR(10), TRUE, ,Merge1[[#This Row],[제품명]],Merge1[[#This Row],[오더번호]],Merge1[[#This Row],[제조번호]],Merge1[[#This Row],[지시수량]])</f>
        <v>다파릴듀오서방정10/1000mg 30정 (PTP)
1015669
A002886
6666</v>
      </c>
    </row>
    <row r="770" spans="1:13" ht="67.5" x14ac:dyDescent="0.25">
      <c r="A770" t="s">
        <v>697</v>
      </c>
      <c r="B770" t="s">
        <v>468</v>
      </c>
      <c r="C770" t="s">
        <v>703</v>
      </c>
      <c r="D770" t="s">
        <v>185</v>
      </c>
      <c r="E770" t="s">
        <v>186</v>
      </c>
      <c r="F770" t="s">
        <v>704</v>
      </c>
      <c r="G770">
        <v>40</v>
      </c>
      <c r="H770" t="s">
        <v>140</v>
      </c>
      <c r="I770" t="s">
        <v>705</v>
      </c>
      <c r="J770">
        <v>6666</v>
      </c>
      <c r="K770">
        <v>24</v>
      </c>
      <c r="L770">
        <f>VLOOKUP(Merge1[[#This Row],[제품코드]],공정중_우선순위[[제품코드]:[우선순위]],4,0)</f>
        <v>1</v>
      </c>
      <c r="M770" s="10" t="str">
        <f>_xlfn.TEXTJOIN(CHAR(10), TRUE, ,Merge1[[#This Row],[제품명]],Merge1[[#This Row],[오더번호]],Merge1[[#This Row],[제조번호]],Merge1[[#This Row],[지시수량]])</f>
        <v>다파릴듀오서방정10/1000mg 30정 (PTP)
1015670
A002895
6666</v>
      </c>
    </row>
    <row r="771" spans="1:13" ht="67.5" x14ac:dyDescent="0.25">
      <c r="A771" t="s">
        <v>697</v>
      </c>
      <c r="B771" t="s">
        <v>468</v>
      </c>
      <c r="C771" t="s">
        <v>698</v>
      </c>
      <c r="D771" t="s">
        <v>185</v>
      </c>
      <c r="E771" t="s">
        <v>186</v>
      </c>
      <c r="F771" t="s">
        <v>699</v>
      </c>
      <c r="G771">
        <v>40</v>
      </c>
      <c r="H771" t="s">
        <v>140</v>
      </c>
      <c r="I771" t="s">
        <v>705</v>
      </c>
      <c r="J771">
        <v>6666</v>
      </c>
      <c r="K771">
        <v>24</v>
      </c>
      <c r="L771">
        <f>VLOOKUP(Merge1[[#This Row],[제품코드]],공정중_우선순위[[제품코드]:[우선순위]],4,0)</f>
        <v>1</v>
      </c>
      <c r="M771" s="10" t="str">
        <f>_xlfn.TEXTJOIN(CHAR(10), TRUE, ,Merge1[[#This Row],[제품명]],Merge1[[#This Row],[오더번호]],Merge1[[#This Row],[제조번호]],Merge1[[#This Row],[지시수량]])</f>
        <v>다파릴듀오서방정10/1000mg 30정 (PTP)
1015668
A002885
6666</v>
      </c>
    </row>
    <row r="772" spans="1:13" ht="67.5" x14ac:dyDescent="0.25">
      <c r="A772" t="s">
        <v>697</v>
      </c>
      <c r="B772" t="s">
        <v>468</v>
      </c>
      <c r="C772" t="s">
        <v>701</v>
      </c>
      <c r="D772" t="s">
        <v>185</v>
      </c>
      <c r="E772" t="s">
        <v>186</v>
      </c>
      <c r="F772" t="s">
        <v>702</v>
      </c>
      <c r="G772">
        <v>40</v>
      </c>
      <c r="H772" t="s">
        <v>140</v>
      </c>
      <c r="I772" t="s">
        <v>705</v>
      </c>
      <c r="J772">
        <v>6666</v>
      </c>
      <c r="K772">
        <v>24</v>
      </c>
      <c r="L772">
        <f>VLOOKUP(Merge1[[#This Row],[제품코드]],공정중_우선순위[[제품코드]:[우선순위]],4,0)</f>
        <v>1</v>
      </c>
      <c r="M772" s="10" t="str">
        <f>_xlfn.TEXTJOIN(CHAR(10), TRUE, ,Merge1[[#This Row],[제품명]],Merge1[[#This Row],[오더번호]],Merge1[[#This Row],[제조번호]],Merge1[[#This Row],[지시수량]])</f>
        <v>다파릴듀오서방정10/1000mg 30정 (PTP)
1015669
A002886
6666</v>
      </c>
    </row>
    <row r="773" spans="1:13" ht="67.5" x14ac:dyDescent="0.25">
      <c r="A773" t="s">
        <v>697</v>
      </c>
      <c r="B773" t="s">
        <v>468</v>
      </c>
      <c r="C773" t="s">
        <v>703</v>
      </c>
      <c r="D773" t="s">
        <v>185</v>
      </c>
      <c r="E773" t="s">
        <v>186</v>
      </c>
      <c r="F773" t="s">
        <v>704</v>
      </c>
      <c r="G773">
        <v>40</v>
      </c>
      <c r="H773" t="s">
        <v>140</v>
      </c>
      <c r="I773" t="s">
        <v>705</v>
      </c>
      <c r="J773">
        <v>6666</v>
      </c>
      <c r="K773">
        <v>24</v>
      </c>
      <c r="L773">
        <f>VLOOKUP(Merge1[[#This Row],[제품코드]],공정중_우선순위[[제품코드]:[우선순위]],4,0)</f>
        <v>1</v>
      </c>
      <c r="M773" s="10" t="str">
        <f>_xlfn.TEXTJOIN(CHAR(10), TRUE, ,Merge1[[#This Row],[제품명]],Merge1[[#This Row],[오더번호]],Merge1[[#This Row],[제조번호]],Merge1[[#This Row],[지시수량]])</f>
        <v>다파릴듀오서방정10/1000mg 30정 (PTP)
1015670
A002895
6666</v>
      </c>
    </row>
    <row r="774" spans="1:13" ht="67.5" x14ac:dyDescent="0.25">
      <c r="A774" t="s">
        <v>555</v>
      </c>
      <c r="B774" t="s">
        <v>556</v>
      </c>
      <c r="C774" t="s">
        <v>526</v>
      </c>
      <c r="D774" t="s">
        <v>137</v>
      </c>
      <c r="E774" t="s">
        <v>138</v>
      </c>
      <c r="F774" t="s">
        <v>557</v>
      </c>
      <c r="G774">
        <v>60</v>
      </c>
      <c r="H774" t="s">
        <v>130</v>
      </c>
      <c r="I774" t="s">
        <v>558</v>
      </c>
      <c r="J774">
        <v>40000</v>
      </c>
      <c r="K774">
        <v>4</v>
      </c>
      <c r="L774">
        <f>VLOOKUP(Merge1[[#This Row],[제품코드]],공정중_우선순위[[제품코드]:[우선순위]],4,0)</f>
        <v>1</v>
      </c>
      <c r="M774" s="10" t="str">
        <f>_xlfn.TEXTJOIN(CHAR(10), TRUE, ,Merge1[[#This Row],[제품명]],Merge1[[#This Row],[오더번호]],Merge1[[#This Row],[제조번호]],Merge1[[#This Row],[지시수량]])</f>
        <v>AYP-101(2.5%) 1V 반제품 (아미팜)
1015320
25003
40000</v>
      </c>
    </row>
    <row r="775" spans="1:13" ht="54" x14ac:dyDescent="0.25">
      <c r="A775" t="s">
        <v>555</v>
      </c>
      <c r="B775" t="s">
        <v>627</v>
      </c>
      <c r="C775" t="s">
        <v>628</v>
      </c>
      <c r="D775" t="s">
        <v>162</v>
      </c>
      <c r="E775" t="s">
        <v>163</v>
      </c>
      <c r="F775" t="s">
        <v>629</v>
      </c>
      <c r="G775">
        <v>30</v>
      </c>
      <c r="H775" t="s">
        <v>127</v>
      </c>
      <c r="I775" t="s">
        <v>630</v>
      </c>
      <c r="J775">
        <v>4000</v>
      </c>
      <c r="K775">
        <v>11</v>
      </c>
      <c r="L775">
        <f>VLOOKUP(Merge1[[#This Row],[제품코드]],공정중_우선순위[[제품코드]:[우선순위]],4,0)</f>
        <v>2</v>
      </c>
      <c r="M775" s="10" t="str">
        <f>_xlfn.TEXTJOIN(CHAR(10), TRUE, ,Merge1[[#This Row],[제품명]],Merge1[[#This Row],[오더번호]],Merge1[[#This Row],[제조번호]],Merge1[[#This Row],[지시수량]])</f>
        <v>데노간주1G 10V (영진약품)
1015283
25103
4000</v>
      </c>
    </row>
    <row r="776" spans="1:13" ht="54" x14ac:dyDescent="0.25">
      <c r="A776" t="s">
        <v>555</v>
      </c>
      <c r="B776" t="s">
        <v>627</v>
      </c>
      <c r="C776" t="s">
        <v>628</v>
      </c>
      <c r="D776" t="s">
        <v>162</v>
      </c>
      <c r="E776" t="s">
        <v>163</v>
      </c>
      <c r="F776" t="s">
        <v>629</v>
      </c>
      <c r="G776">
        <v>40</v>
      </c>
      <c r="H776" t="s">
        <v>128</v>
      </c>
      <c r="I776" t="s">
        <v>631</v>
      </c>
      <c r="J776">
        <v>4000</v>
      </c>
      <c r="K776">
        <v>16</v>
      </c>
      <c r="L776">
        <f>VLOOKUP(Merge1[[#This Row],[제품코드]],공정중_우선순위[[제품코드]:[우선순위]],4,0)</f>
        <v>2</v>
      </c>
      <c r="M776" s="10" t="str">
        <f>_xlfn.TEXTJOIN(CHAR(10), TRUE, ,Merge1[[#This Row],[제품명]],Merge1[[#This Row],[오더번호]],Merge1[[#This Row],[제조번호]],Merge1[[#This Row],[지시수량]])</f>
        <v>데노간주1G 10V (영진약품)
1015283
25103
4000</v>
      </c>
    </row>
    <row r="777" spans="1:13" ht="54" x14ac:dyDescent="0.25">
      <c r="A777" t="s">
        <v>555</v>
      </c>
      <c r="B777" t="s">
        <v>627</v>
      </c>
      <c r="C777" t="s">
        <v>712</v>
      </c>
      <c r="D777" t="s">
        <v>162</v>
      </c>
      <c r="E777" t="s">
        <v>163</v>
      </c>
      <c r="F777" t="s">
        <v>713</v>
      </c>
      <c r="G777">
        <v>30</v>
      </c>
      <c r="H777" t="s">
        <v>127</v>
      </c>
      <c r="I777" t="s">
        <v>630</v>
      </c>
      <c r="J777">
        <v>4850</v>
      </c>
      <c r="K777">
        <v>13</v>
      </c>
      <c r="L777">
        <f>VLOOKUP(Merge1[[#This Row],[제품코드]],공정중_우선순위[[제품코드]:[우선순위]],4,0)</f>
        <v>2</v>
      </c>
      <c r="M777" s="10" t="str">
        <f>_xlfn.TEXTJOIN(CHAR(10), TRUE, ,Merge1[[#This Row],[제품명]],Merge1[[#This Row],[오더번호]],Merge1[[#This Row],[제조번호]],Merge1[[#This Row],[지시수량]])</f>
        <v>데노간주1G 10V (영진약품)
1015282
25102
4850</v>
      </c>
    </row>
    <row r="778" spans="1:13" ht="54" x14ac:dyDescent="0.25">
      <c r="A778" t="s">
        <v>555</v>
      </c>
      <c r="B778" t="s">
        <v>627</v>
      </c>
      <c r="C778" t="s">
        <v>712</v>
      </c>
      <c r="D778" t="s">
        <v>162</v>
      </c>
      <c r="E778" t="s">
        <v>163</v>
      </c>
      <c r="F778" t="s">
        <v>713</v>
      </c>
      <c r="G778">
        <v>40</v>
      </c>
      <c r="H778" t="s">
        <v>128</v>
      </c>
      <c r="I778" t="s">
        <v>631</v>
      </c>
      <c r="J778">
        <v>4850</v>
      </c>
      <c r="K778">
        <v>17</v>
      </c>
      <c r="L778">
        <f>VLOOKUP(Merge1[[#This Row],[제품코드]],공정중_우선순위[[제품코드]:[우선순위]],4,0)</f>
        <v>2</v>
      </c>
      <c r="M778" s="10" t="str">
        <f>_xlfn.TEXTJOIN(CHAR(10), TRUE, ,Merge1[[#This Row],[제품명]],Merge1[[#This Row],[오더번호]],Merge1[[#This Row],[제조번호]],Merge1[[#This Row],[지시수량]])</f>
        <v>데노간주1G 10V (영진약품)
1015282
25102
4850</v>
      </c>
    </row>
    <row r="779" spans="1:13" ht="54" x14ac:dyDescent="0.25">
      <c r="A779" t="s">
        <v>555</v>
      </c>
      <c r="B779" t="s">
        <v>687</v>
      </c>
      <c r="C779" t="s">
        <v>688</v>
      </c>
      <c r="D779" t="s">
        <v>181</v>
      </c>
      <c r="E779" t="s">
        <v>182</v>
      </c>
      <c r="F779" t="s">
        <v>689</v>
      </c>
      <c r="G779">
        <v>20</v>
      </c>
      <c r="H779" t="s">
        <v>126</v>
      </c>
      <c r="I779" t="s">
        <v>690</v>
      </c>
      <c r="J779">
        <v>5000</v>
      </c>
      <c r="K779">
        <v>3</v>
      </c>
      <c r="L779">
        <f>VLOOKUP(Merge1[[#This Row],[제품코드]],공정중_우선순위[[제품코드]:[우선순위]],4,0)</f>
        <v>3</v>
      </c>
      <c r="M779" s="10" t="str">
        <f>_xlfn.TEXTJOIN(CHAR(10), TRUE, ,Merge1[[#This Row],[제품명]],Merge1[[#This Row],[오더번호]],Merge1[[#This Row],[제조번호]],Merge1[[#This Row],[지시수량]])</f>
        <v>셀베인주 10V (제론셀베인)
1015376
CVI2509
5000</v>
      </c>
    </row>
    <row r="780" spans="1:13" ht="54" x14ac:dyDescent="0.25">
      <c r="A780" t="s">
        <v>555</v>
      </c>
      <c r="B780" t="s">
        <v>687</v>
      </c>
      <c r="C780" t="s">
        <v>688</v>
      </c>
      <c r="D780" t="s">
        <v>181</v>
      </c>
      <c r="E780" t="s">
        <v>182</v>
      </c>
      <c r="F780" t="s">
        <v>689</v>
      </c>
      <c r="G780">
        <v>30</v>
      </c>
      <c r="H780" t="s">
        <v>127</v>
      </c>
      <c r="I780" t="s">
        <v>691</v>
      </c>
      <c r="J780">
        <v>5000</v>
      </c>
      <c r="K780">
        <v>9</v>
      </c>
      <c r="L780">
        <f>VLOOKUP(Merge1[[#This Row],[제품코드]],공정중_우선순위[[제품코드]:[우선순위]],4,0)</f>
        <v>3</v>
      </c>
      <c r="M780" s="10" t="str">
        <f>_xlfn.TEXTJOIN(CHAR(10), TRUE, ,Merge1[[#This Row],[제품명]],Merge1[[#This Row],[오더번호]],Merge1[[#This Row],[제조번호]],Merge1[[#This Row],[지시수량]])</f>
        <v>셀베인주 10V (제론셀베인)
1015376
CVI2509
5000</v>
      </c>
    </row>
    <row r="781" spans="1:13" ht="54" x14ac:dyDescent="0.25">
      <c r="A781" t="s">
        <v>555</v>
      </c>
      <c r="B781" t="s">
        <v>687</v>
      </c>
      <c r="C781" t="s">
        <v>692</v>
      </c>
      <c r="D781" t="s">
        <v>181</v>
      </c>
      <c r="E781" t="s">
        <v>182</v>
      </c>
      <c r="F781" t="s">
        <v>693</v>
      </c>
      <c r="G781">
        <v>40</v>
      </c>
      <c r="H781" t="s">
        <v>128</v>
      </c>
      <c r="I781" t="s">
        <v>694</v>
      </c>
      <c r="J781">
        <v>5000</v>
      </c>
      <c r="K781">
        <v>14</v>
      </c>
      <c r="L781">
        <f>VLOOKUP(Merge1[[#This Row],[제품코드]],공정중_우선순위[[제품코드]:[우선순위]],4,0)</f>
        <v>3</v>
      </c>
      <c r="M781" s="10" t="str">
        <f>_xlfn.TEXTJOIN(CHAR(10), TRUE, ,Merge1[[#This Row],[제품명]],Merge1[[#This Row],[오더번호]],Merge1[[#This Row],[제조번호]],Merge1[[#This Row],[지시수량]])</f>
        <v>셀베인주 10V (제론셀베인)
1015375
CVI2508
5000</v>
      </c>
    </row>
    <row r="782" spans="1:13" ht="54" x14ac:dyDescent="0.25">
      <c r="A782" t="s">
        <v>555</v>
      </c>
      <c r="B782" t="s">
        <v>687</v>
      </c>
      <c r="C782" t="s">
        <v>688</v>
      </c>
      <c r="D782" t="s">
        <v>181</v>
      </c>
      <c r="E782" t="s">
        <v>182</v>
      </c>
      <c r="F782" t="s">
        <v>689</v>
      </c>
      <c r="G782">
        <v>40</v>
      </c>
      <c r="H782" t="s">
        <v>128</v>
      </c>
      <c r="I782" t="s">
        <v>694</v>
      </c>
      <c r="J782">
        <v>5000</v>
      </c>
      <c r="K782">
        <v>14</v>
      </c>
      <c r="L782">
        <f>VLOOKUP(Merge1[[#This Row],[제품코드]],공정중_우선순위[[제품코드]:[우선순위]],4,0)</f>
        <v>3</v>
      </c>
      <c r="M782" s="10" t="str">
        <f>_xlfn.TEXTJOIN(CHAR(10), TRUE, ,Merge1[[#This Row],[제품명]],Merge1[[#This Row],[오더번호]],Merge1[[#This Row],[제조번호]],Merge1[[#This Row],[지시수량]])</f>
        <v>셀베인주 10V (제론셀베인)
1015376
CVI2509
5000</v>
      </c>
    </row>
    <row r="783" spans="1:13" ht="54" x14ac:dyDescent="0.25">
      <c r="A783" t="s">
        <v>555</v>
      </c>
      <c r="B783" t="s">
        <v>687</v>
      </c>
      <c r="C783" t="s">
        <v>695</v>
      </c>
      <c r="D783" t="s">
        <v>181</v>
      </c>
      <c r="E783" t="s">
        <v>182</v>
      </c>
      <c r="F783" t="s">
        <v>696</v>
      </c>
      <c r="G783">
        <v>60</v>
      </c>
      <c r="H783" t="s">
        <v>130</v>
      </c>
      <c r="I783" t="s">
        <v>558</v>
      </c>
      <c r="J783">
        <v>5000</v>
      </c>
      <c r="K783">
        <v>22</v>
      </c>
      <c r="L783">
        <f>VLOOKUP(Merge1[[#This Row],[제품코드]],공정중_우선순위[[제품코드]:[우선순위]],4,0)</f>
        <v>3</v>
      </c>
      <c r="M783" s="10" t="str">
        <f>_xlfn.TEXTJOIN(CHAR(10), TRUE, ,Merge1[[#This Row],[제품명]],Merge1[[#This Row],[오더번호]],Merge1[[#This Row],[제조번호]],Merge1[[#This Row],[지시수량]])</f>
        <v>셀베인주 10V (제론셀베인)
1015374
CVI2507
5000</v>
      </c>
    </row>
    <row r="784" spans="1:13" ht="54" x14ac:dyDescent="0.25">
      <c r="A784" t="s">
        <v>555</v>
      </c>
      <c r="B784" t="s">
        <v>687</v>
      </c>
      <c r="C784" t="s">
        <v>692</v>
      </c>
      <c r="D784" t="s">
        <v>181</v>
      </c>
      <c r="E784" t="s">
        <v>182</v>
      </c>
      <c r="F784" t="s">
        <v>693</v>
      </c>
      <c r="G784">
        <v>60</v>
      </c>
      <c r="H784" t="s">
        <v>130</v>
      </c>
      <c r="I784" t="s">
        <v>558</v>
      </c>
      <c r="J784">
        <v>5000</v>
      </c>
      <c r="K784">
        <v>22</v>
      </c>
      <c r="L784">
        <f>VLOOKUP(Merge1[[#This Row],[제품코드]],공정중_우선순위[[제품코드]:[우선순위]],4,0)</f>
        <v>3</v>
      </c>
      <c r="M784" s="10" t="str">
        <f>_xlfn.TEXTJOIN(CHAR(10), TRUE, ,Merge1[[#This Row],[제품명]],Merge1[[#This Row],[오더번호]],Merge1[[#This Row],[제조번호]],Merge1[[#This Row],[지시수량]])</f>
        <v>셀베인주 10V (제론셀베인)
1015375
CVI2508
5000</v>
      </c>
    </row>
    <row r="785" spans="1:13" ht="54" x14ac:dyDescent="0.25">
      <c r="A785" t="s">
        <v>555</v>
      </c>
      <c r="B785" t="s">
        <v>687</v>
      </c>
      <c r="C785" t="s">
        <v>688</v>
      </c>
      <c r="D785" t="s">
        <v>181</v>
      </c>
      <c r="E785" t="s">
        <v>182</v>
      </c>
      <c r="F785" t="s">
        <v>689</v>
      </c>
      <c r="G785">
        <v>60</v>
      </c>
      <c r="H785" t="s">
        <v>130</v>
      </c>
      <c r="I785" t="s">
        <v>558</v>
      </c>
      <c r="J785">
        <v>5000</v>
      </c>
      <c r="K785">
        <v>22</v>
      </c>
      <c r="L785">
        <f>VLOOKUP(Merge1[[#This Row],[제품코드]],공정중_우선순위[[제품코드]:[우선순위]],4,0)</f>
        <v>3</v>
      </c>
      <c r="M785" s="10" t="str">
        <f>_xlfn.TEXTJOIN(CHAR(10), TRUE, ,Merge1[[#This Row],[제품명]],Merge1[[#This Row],[오더번호]],Merge1[[#This Row],[제조번호]],Merge1[[#This Row],[지시수량]])</f>
        <v>셀베인주 10V (제론셀베인)
1015376
CVI2509
5000</v>
      </c>
    </row>
    <row r="786" spans="1:13" ht="67.5" x14ac:dyDescent="0.25">
      <c r="A786" t="s">
        <v>555</v>
      </c>
      <c r="B786" t="s">
        <v>668</v>
      </c>
      <c r="C786" t="s">
        <v>683</v>
      </c>
      <c r="D786" t="s">
        <v>179</v>
      </c>
      <c r="E786" t="s">
        <v>180</v>
      </c>
      <c r="F786" t="s">
        <v>684</v>
      </c>
      <c r="G786">
        <v>60</v>
      </c>
      <c r="H786" t="s">
        <v>130</v>
      </c>
      <c r="I786" t="s">
        <v>667</v>
      </c>
      <c r="J786">
        <v>4000</v>
      </c>
      <c r="K786">
        <v>9</v>
      </c>
      <c r="L786">
        <f>VLOOKUP(Merge1[[#This Row],[제품코드]],공정중_우선순위[[제품코드]:[우선순위]],4,0)</f>
        <v>4</v>
      </c>
      <c r="M786" s="10" t="str">
        <f>_xlfn.TEXTJOIN(CHAR(10), TRUE, ,Merge1[[#This Row],[제품명]],Merge1[[#This Row],[오더번호]],Merge1[[#This Row],[제조번호]],Merge1[[#This Row],[지시수량]])</f>
        <v>메트몰주 1G/10ML(구주제약) 10A
1015653
50142514
4000</v>
      </c>
    </row>
    <row r="787" spans="1:13" ht="54" x14ac:dyDescent="0.25">
      <c r="A787" t="s">
        <v>555</v>
      </c>
      <c r="B787" t="s">
        <v>569</v>
      </c>
      <c r="C787" t="s">
        <v>570</v>
      </c>
      <c r="D787" t="s">
        <v>150</v>
      </c>
      <c r="E787" t="s">
        <v>151</v>
      </c>
      <c r="F787" t="s">
        <v>571</v>
      </c>
      <c r="G787">
        <v>20</v>
      </c>
      <c r="H787" t="s">
        <v>126</v>
      </c>
      <c r="I787" t="s">
        <v>572</v>
      </c>
      <c r="J787">
        <v>2000</v>
      </c>
      <c r="K787">
        <v>3</v>
      </c>
      <c r="L787">
        <f>VLOOKUP(Merge1[[#This Row],[제품코드]],공정중_우선순위[[제품코드]:[우선순위]],4,0)</f>
        <v>5</v>
      </c>
      <c r="M787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788" spans="1:13" ht="54" x14ac:dyDescent="0.25">
      <c r="A788" t="s">
        <v>555</v>
      </c>
      <c r="B788" t="s">
        <v>569</v>
      </c>
      <c r="C788" t="s">
        <v>573</v>
      </c>
      <c r="D788" t="s">
        <v>150</v>
      </c>
      <c r="E788" t="s">
        <v>151</v>
      </c>
      <c r="F788" t="s">
        <v>574</v>
      </c>
      <c r="G788">
        <v>20</v>
      </c>
      <c r="H788" t="s">
        <v>126</v>
      </c>
      <c r="I788" t="s">
        <v>572</v>
      </c>
      <c r="J788">
        <v>2000</v>
      </c>
      <c r="K788">
        <v>3</v>
      </c>
      <c r="L788">
        <f>VLOOKUP(Merge1[[#This Row],[제품코드]],공정중_우선순위[[제품코드]:[우선순위]],4,0)</f>
        <v>5</v>
      </c>
      <c r="M788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789" spans="1:13" ht="54" x14ac:dyDescent="0.25">
      <c r="A789" t="s">
        <v>555</v>
      </c>
      <c r="B789" t="s">
        <v>569</v>
      </c>
      <c r="C789" t="s">
        <v>575</v>
      </c>
      <c r="D789" t="s">
        <v>150</v>
      </c>
      <c r="E789" t="s">
        <v>151</v>
      </c>
      <c r="F789" t="s">
        <v>576</v>
      </c>
      <c r="G789">
        <v>20</v>
      </c>
      <c r="H789" t="s">
        <v>126</v>
      </c>
      <c r="I789" t="s">
        <v>572</v>
      </c>
      <c r="J789">
        <v>2000</v>
      </c>
      <c r="K789">
        <v>3</v>
      </c>
      <c r="L789">
        <f>VLOOKUP(Merge1[[#This Row],[제품코드]],공정중_우선순위[[제품코드]:[우선순위]],4,0)</f>
        <v>5</v>
      </c>
      <c r="M789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790" spans="1:13" ht="54" x14ac:dyDescent="0.25">
      <c r="A790" t="s">
        <v>555</v>
      </c>
      <c r="B790" t="s">
        <v>569</v>
      </c>
      <c r="C790" t="s">
        <v>577</v>
      </c>
      <c r="D790" t="s">
        <v>150</v>
      </c>
      <c r="E790" t="s">
        <v>151</v>
      </c>
      <c r="F790" t="s">
        <v>578</v>
      </c>
      <c r="G790">
        <v>20</v>
      </c>
      <c r="H790" t="s">
        <v>126</v>
      </c>
      <c r="I790" t="s">
        <v>572</v>
      </c>
      <c r="J790">
        <v>2000</v>
      </c>
      <c r="K790">
        <v>3</v>
      </c>
      <c r="L790">
        <f>VLOOKUP(Merge1[[#This Row],[제품코드]],공정중_우선순위[[제품코드]:[우선순위]],4,0)</f>
        <v>5</v>
      </c>
      <c r="M790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791" spans="1:13" ht="54" x14ac:dyDescent="0.25">
      <c r="A791" t="s">
        <v>555</v>
      </c>
      <c r="B791" t="s">
        <v>569</v>
      </c>
      <c r="C791" t="s">
        <v>570</v>
      </c>
      <c r="D791" t="s">
        <v>150</v>
      </c>
      <c r="E791" t="s">
        <v>151</v>
      </c>
      <c r="F791" t="s">
        <v>571</v>
      </c>
      <c r="G791">
        <v>20</v>
      </c>
      <c r="H791" t="s">
        <v>126</v>
      </c>
      <c r="I791" t="s">
        <v>572</v>
      </c>
      <c r="J791">
        <v>2000</v>
      </c>
      <c r="K791">
        <v>3</v>
      </c>
      <c r="L791">
        <f>VLOOKUP(Merge1[[#This Row],[제품코드]],공정중_우선순위[[제품코드]:[우선순위]],4,0)</f>
        <v>5</v>
      </c>
      <c r="M791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792" spans="1:13" ht="54" x14ac:dyDescent="0.25">
      <c r="A792" t="s">
        <v>555</v>
      </c>
      <c r="B792" t="s">
        <v>569</v>
      </c>
      <c r="C792" t="s">
        <v>573</v>
      </c>
      <c r="D792" t="s">
        <v>150</v>
      </c>
      <c r="E792" t="s">
        <v>151</v>
      </c>
      <c r="F792" t="s">
        <v>574</v>
      </c>
      <c r="G792">
        <v>20</v>
      </c>
      <c r="H792" t="s">
        <v>126</v>
      </c>
      <c r="I792" t="s">
        <v>572</v>
      </c>
      <c r="J792">
        <v>2000</v>
      </c>
      <c r="K792">
        <v>3</v>
      </c>
      <c r="L792">
        <f>VLOOKUP(Merge1[[#This Row],[제품코드]],공정중_우선순위[[제품코드]:[우선순위]],4,0)</f>
        <v>5</v>
      </c>
      <c r="M792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793" spans="1:13" ht="54" x14ac:dyDescent="0.25">
      <c r="A793" t="s">
        <v>555</v>
      </c>
      <c r="B793" t="s">
        <v>569</v>
      </c>
      <c r="C793" t="s">
        <v>575</v>
      </c>
      <c r="D793" t="s">
        <v>150</v>
      </c>
      <c r="E793" t="s">
        <v>151</v>
      </c>
      <c r="F793" t="s">
        <v>576</v>
      </c>
      <c r="G793">
        <v>20</v>
      </c>
      <c r="H793" t="s">
        <v>126</v>
      </c>
      <c r="I793" t="s">
        <v>572</v>
      </c>
      <c r="J793">
        <v>2000</v>
      </c>
      <c r="K793">
        <v>3</v>
      </c>
      <c r="L793">
        <f>VLOOKUP(Merge1[[#This Row],[제품코드]],공정중_우선순위[[제품코드]:[우선순위]],4,0)</f>
        <v>5</v>
      </c>
      <c r="M793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794" spans="1:13" ht="54" x14ac:dyDescent="0.25">
      <c r="A794" t="s">
        <v>555</v>
      </c>
      <c r="B794" t="s">
        <v>569</v>
      </c>
      <c r="C794" t="s">
        <v>577</v>
      </c>
      <c r="D794" t="s">
        <v>150</v>
      </c>
      <c r="E794" t="s">
        <v>151</v>
      </c>
      <c r="F794" t="s">
        <v>578</v>
      </c>
      <c r="G794">
        <v>20</v>
      </c>
      <c r="H794" t="s">
        <v>126</v>
      </c>
      <c r="I794" t="s">
        <v>572</v>
      </c>
      <c r="J794">
        <v>2000</v>
      </c>
      <c r="K794">
        <v>3</v>
      </c>
      <c r="L794">
        <f>VLOOKUP(Merge1[[#This Row],[제품코드]],공정중_우선순위[[제품코드]:[우선순위]],4,0)</f>
        <v>5</v>
      </c>
      <c r="M794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795" spans="1:13" ht="54" x14ac:dyDescent="0.25">
      <c r="A795" t="s">
        <v>555</v>
      </c>
      <c r="B795" t="s">
        <v>569</v>
      </c>
      <c r="C795" t="s">
        <v>570</v>
      </c>
      <c r="D795" t="s">
        <v>150</v>
      </c>
      <c r="E795" t="s">
        <v>151</v>
      </c>
      <c r="F795" t="s">
        <v>571</v>
      </c>
      <c r="G795">
        <v>30</v>
      </c>
      <c r="H795" t="s">
        <v>127</v>
      </c>
      <c r="I795" t="s">
        <v>579</v>
      </c>
      <c r="J795">
        <v>2000</v>
      </c>
      <c r="K795">
        <v>13</v>
      </c>
      <c r="L795">
        <f>VLOOKUP(Merge1[[#This Row],[제품코드]],공정중_우선순위[[제품코드]:[우선순위]],4,0)</f>
        <v>5</v>
      </c>
      <c r="M795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796" spans="1:13" ht="54" x14ac:dyDescent="0.25">
      <c r="A796" t="s">
        <v>555</v>
      </c>
      <c r="B796" t="s">
        <v>569</v>
      </c>
      <c r="C796" t="s">
        <v>573</v>
      </c>
      <c r="D796" t="s">
        <v>150</v>
      </c>
      <c r="E796" t="s">
        <v>151</v>
      </c>
      <c r="F796" t="s">
        <v>574</v>
      </c>
      <c r="G796">
        <v>30</v>
      </c>
      <c r="H796" t="s">
        <v>127</v>
      </c>
      <c r="I796" t="s">
        <v>579</v>
      </c>
      <c r="J796">
        <v>2000</v>
      </c>
      <c r="K796">
        <v>13</v>
      </c>
      <c r="L796">
        <f>VLOOKUP(Merge1[[#This Row],[제품코드]],공정중_우선순위[[제품코드]:[우선순위]],4,0)</f>
        <v>5</v>
      </c>
      <c r="M796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797" spans="1:13" ht="54" x14ac:dyDescent="0.25">
      <c r="A797" t="s">
        <v>555</v>
      </c>
      <c r="B797" t="s">
        <v>569</v>
      </c>
      <c r="C797" t="s">
        <v>575</v>
      </c>
      <c r="D797" t="s">
        <v>150</v>
      </c>
      <c r="E797" t="s">
        <v>151</v>
      </c>
      <c r="F797" t="s">
        <v>576</v>
      </c>
      <c r="G797">
        <v>30</v>
      </c>
      <c r="H797" t="s">
        <v>127</v>
      </c>
      <c r="I797" t="s">
        <v>579</v>
      </c>
      <c r="J797">
        <v>2000</v>
      </c>
      <c r="K797">
        <v>13</v>
      </c>
      <c r="L797">
        <f>VLOOKUP(Merge1[[#This Row],[제품코드]],공정중_우선순위[[제품코드]:[우선순위]],4,0)</f>
        <v>5</v>
      </c>
      <c r="M797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798" spans="1:13" ht="54" x14ac:dyDescent="0.25">
      <c r="A798" t="s">
        <v>555</v>
      </c>
      <c r="B798" t="s">
        <v>569</v>
      </c>
      <c r="C798" t="s">
        <v>577</v>
      </c>
      <c r="D798" t="s">
        <v>150</v>
      </c>
      <c r="E798" t="s">
        <v>151</v>
      </c>
      <c r="F798" t="s">
        <v>578</v>
      </c>
      <c r="G798">
        <v>30</v>
      </c>
      <c r="H798" t="s">
        <v>127</v>
      </c>
      <c r="I798" t="s">
        <v>579</v>
      </c>
      <c r="J798">
        <v>2000</v>
      </c>
      <c r="K798">
        <v>13</v>
      </c>
      <c r="L798">
        <f>VLOOKUP(Merge1[[#This Row],[제품코드]],공정중_우선순위[[제품코드]:[우선순위]],4,0)</f>
        <v>5</v>
      </c>
      <c r="M798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799" spans="1:13" ht="54" x14ac:dyDescent="0.25">
      <c r="A799" t="s">
        <v>555</v>
      </c>
      <c r="B799" t="s">
        <v>569</v>
      </c>
      <c r="C799" t="s">
        <v>570</v>
      </c>
      <c r="D799" t="s">
        <v>150</v>
      </c>
      <c r="E799" t="s">
        <v>151</v>
      </c>
      <c r="F799" t="s">
        <v>571</v>
      </c>
      <c r="G799">
        <v>30</v>
      </c>
      <c r="H799" t="s">
        <v>127</v>
      </c>
      <c r="I799" t="s">
        <v>579</v>
      </c>
      <c r="J799">
        <v>2000</v>
      </c>
      <c r="K799">
        <v>12</v>
      </c>
      <c r="L799">
        <f>VLOOKUP(Merge1[[#This Row],[제품코드]],공정중_우선순위[[제품코드]:[우선순위]],4,0)</f>
        <v>5</v>
      </c>
      <c r="M799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800" spans="1:13" ht="54" x14ac:dyDescent="0.25">
      <c r="A800" t="s">
        <v>555</v>
      </c>
      <c r="B800" t="s">
        <v>569</v>
      </c>
      <c r="C800" t="s">
        <v>573</v>
      </c>
      <c r="D800" t="s">
        <v>150</v>
      </c>
      <c r="E800" t="s">
        <v>151</v>
      </c>
      <c r="F800" t="s">
        <v>574</v>
      </c>
      <c r="G800">
        <v>30</v>
      </c>
      <c r="H800" t="s">
        <v>127</v>
      </c>
      <c r="I800" t="s">
        <v>579</v>
      </c>
      <c r="J800">
        <v>2000</v>
      </c>
      <c r="K800">
        <v>12</v>
      </c>
      <c r="L800">
        <f>VLOOKUP(Merge1[[#This Row],[제품코드]],공정중_우선순위[[제품코드]:[우선순위]],4,0)</f>
        <v>5</v>
      </c>
      <c r="M800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801" spans="1:13" ht="54" x14ac:dyDescent="0.25">
      <c r="A801" t="s">
        <v>555</v>
      </c>
      <c r="B801" t="s">
        <v>569</v>
      </c>
      <c r="C801" t="s">
        <v>575</v>
      </c>
      <c r="D801" t="s">
        <v>150</v>
      </c>
      <c r="E801" t="s">
        <v>151</v>
      </c>
      <c r="F801" t="s">
        <v>576</v>
      </c>
      <c r="G801">
        <v>30</v>
      </c>
      <c r="H801" t="s">
        <v>127</v>
      </c>
      <c r="I801" t="s">
        <v>579</v>
      </c>
      <c r="J801">
        <v>2000</v>
      </c>
      <c r="K801">
        <v>12</v>
      </c>
      <c r="L801">
        <f>VLOOKUP(Merge1[[#This Row],[제품코드]],공정중_우선순위[[제품코드]:[우선순위]],4,0)</f>
        <v>5</v>
      </c>
      <c r="M801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802" spans="1:13" ht="54" x14ac:dyDescent="0.25">
      <c r="A802" t="s">
        <v>555</v>
      </c>
      <c r="B802" t="s">
        <v>569</v>
      </c>
      <c r="C802" t="s">
        <v>577</v>
      </c>
      <c r="D802" t="s">
        <v>150</v>
      </c>
      <c r="E802" t="s">
        <v>151</v>
      </c>
      <c r="F802" t="s">
        <v>578</v>
      </c>
      <c r="G802">
        <v>30</v>
      </c>
      <c r="H802" t="s">
        <v>127</v>
      </c>
      <c r="I802" t="s">
        <v>579</v>
      </c>
      <c r="J802">
        <v>2000</v>
      </c>
      <c r="K802">
        <v>12</v>
      </c>
      <c r="L802">
        <f>VLOOKUP(Merge1[[#This Row],[제품코드]],공정중_우선순위[[제품코드]:[우선순위]],4,0)</f>
        <v>5</v>
      </c>
      <c r="M802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803" spans="1:13" ht="54" x14ac:dyDescent="0.25">
      <c r="A803" t="s">
        <v>555</v>
      </c>
      <c r="B803" t="s">
        <v>569</v>
      </c>
      <c r="C803" t="s">
        <v>580</v>
      </c>
      <c r="D803" t="s">
        <v>150</v>
      </c>
      <c r="E803" t="s">
        <v>151</v>
      </c>
      <c r="F803" t="s">
        <v>581</v>
      </c>
      <c r="G803">
        <v>40</v>
      </c>
      <c r="H803" t="s">
        <v>129</v>
      </c>
      <c r="I803" t="s">
        <v>582</v>
      </c>
      <c r="J803">
        <v>2000</v>
      </c>
      <c r="K803">
        <v>16</v>
      </c>
      <c r="L803">
        <f>VLOOKUP(Merge1[[#This Row],[제품코드]],공정중_우선순위[[제품코드]:[우선순위]],4,0)</f>
        <v>5</v>
      </c>
      <c r="M803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804" spans="1:13" ht="54" x14ac:dyDescent="0.25">
      <c r="A804" t="s">
        <v>555</v>
      </c>
      <c r="B804" t="s">
        <v>569</v>
      </c>
      <c r="C804" t="s">
        <v>570</v>
      </c>
      <c r="D804" t="s">
        <v>150</v>
      </c>
      <c r="E804" t="s">
        <v>151</v>
      </c>
      <c r="F804" t="s">
        <v>571</v>
      </c>
      <c r="G804">
        <v>40</v>
      </c>
      <c r="H804" t="s">
        <v>129</v>
      </c>
      <c r="I804" t="s">
        <v>582</v>
      </c>
      <c r="J804">
        <v>2000</v>
      </c>
      <c r="K804">
        <v>16</v>
      </c>
      <c r="L804">
        <f>VLOOKUP(Merge1[[#This Row],[제품코드]],공정중_우선순위[[제품코드]:[우선순위]],4,0)</f>
        <v>5</v>
      </c>
      <c r="M804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805" spans="1:13" ht="54" x14ac:dyDescent="0.25">
      <c r="A805" t="s">
        <v>555</v>
      </c>
      <c r="B805" t="s">
        <v>569</v>
      </c>
      <c r="C805" t="s">
        <v>573</v>
      </c>
      <c r="D805" t="s">
        <v>150</v>
      </c>
      <c r="E805" t="s">
        <v>151</v>
      </c>
      <c r="F805" t="s">
        <v>574</v>
      </c>
      <c r="G805">
        <v>40</v>
      </c>
      <c r="H805" t="s">
        <v>129</v>
      </c>
      <c r="I805" t="s">
        <v>582</v>
      </c>
      <c r="J805">
        <v>2000</v>
      </c>
      <c r="K805">
        <v>16</v>
      </c>
      <c r="L805">
        <f>VLOOKUP(Merge1[[#This Row],[제품코드]],공정중_우선순위[[제품코드]:[우선순위]],4,0)</f>
        <v>5</v>
      </c>
      <c r="M805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806" spans="1:13" ht="54" x14ac:dyDescent="0.25">
      <c r="A806" t="s">
        <v>555</v>
      </c>
      <c r="B806" t="s">
        <v>569</v>
      </c>
      <c r="C806" t="s">
        <v>575</v>
      </c>
      <c r="D806" t="s">
        <v>150</v>
      </c>
      <c r="E806" t="s">
        <v>151</v>
      </c>
      <c r="F806" t="s">
        <v>576</v>
      </c>
      <c r="G806">
        <v>40</v>
      </c>
      <c r="H806" t="s">
        <v>129</v>
      </c>
      <c r="I806" t="s">
        <v>582</v>
      </c>
      <c r="J806">
        <v>2000</v>
      </c>
      <c r="K806">
        <v>16</v>
      </c>
      <c r="L806">
        <f>VLOOKUP(Merge1[[#This Row],[제품코드]],공정중_우선순위[[제품코드]:[우선순위]],4,0)</f>
        <v>5</v>
      </c>
      <c r="M806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807" spans="1:13" ht="54" x14ac:dyDescent="0.25">
      <c r="A807" t="s">
        <v>555</v>
      </c>
      <c r="B807" t="s">
        <v>569</v>
      </c>
      <c r="C807" t="s">
        <v>577</v>
      </c>
      <c r="D807" t="s">
        <v>150</v>
      </c>
      <c r="E807" t="s">
        <v>151</v>
      </c>
      <c r="F807" t="s">
        <v>578</v>
      </c>
      <c r="G807">
        <v>40</v>
      </c>
      <c r="H807" t="s">
        <v>129</v>
      </c>
      <c r="I807" t="s">
        <v>582</v>
      </c>
      <c r="J807">
        <v>2000</v>
      </c>
      <c r="K807">
        <v>16</v>
      </c>
      <c r="L807">
        <f>VLOOKUP(Merge1[[#This Row],[제품코드]],공정중_우선순위[[제품코드]:[우선순위]],4,0)</f>
        <v>5</v>
      </c>
      <c r="M807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808" spans="1:13" ht="54" x14ac:dyDescent="0.25">
      <c r="A808" t="s">
        <v>555</v>
      </c>
      <c r="B808" t="s">
        <v>569</v>
      </c>
      <c r="C808" t="s">
        <v>580</v>
      </c>
      <c r="D808" t="s">
        <v>150</v>
      </c>
      <c r="E808" t="s">
        <v>151</v>
      </c>
      <c r="F808" t="s">
        <v>581</v>
      </c>
      <c r="G808">
        <v>40</v>
      </c>
      <c r="H808" t="s">
        <v>129</v>
      </c>
      <c r="I808" t="s">
        <v>582</v>
      </c>
      <c r="J808">
        <v>2000</v>
      </c>
      <c r="K808">
        <v>14</v>
      </c>
      <c r="L808">
        <f>VLOOKUP(Merge1[[#This Row],[제품코드]],공정중_우선순위[[제품코드]:[우선순위]],4,0)</f>
        <v>5</v>
      </c>
      <c r="M808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809" spans="1:13" ht="54" x14ac:dyDescent="0.25">
      <c r="A809" t="s">
        <v>555</v>
      </c>
      <c r="B809" t="s">
        <v>569</v>
      </c>
      <c r="C809" t="s">
        <v>570</v>
      </c>
      <c r="D809" t="s">
        <v>150</v>
      </c>
      <c r="E809" t="s">
        <v>151</v>
      </c>
      <c r="F809" t="s">
        <v>571</v>
      </c>
      <c r="G809">
        <v>40</v>
      </c>
      <c r="H809" t="s">
        <v>129</v>
      </c>
      <c r="I809" t="s">
        <v>582</v>
      </c>
      <c r="J809">
        <v>2000</v>
      </c>
      <c r="K809">
        <v>14</v>
      </c>
      <c r="L809">
        <f>VLOOKUP(Merge1[[#This Row],[제품코드]],공정중_우선순위[[제품코드]:[우선순위]],4,0)</f>
        <v>5</v>
      </c>
      <c r="M809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810" spans="1:13" ht="54" x14ac:dyDescent="0.25">
      <c r="A810" t="s">
        <v>555</v>
      </c>
      <c r="B810" t="s">
        <v>569</v>
      </c>
      <c r="C810" t="s">
        <v>573</v>
      </c>
      <c r="D810" t="s">
        <v>150</v>
      </c>
      <c r="E810" t="s">
        <v>151</v>
      </c>
      <c r="F810" t="s">
        <v>574</v>
      </c>
      <c r="G810">
        <v>40</v>
      </c>
      <c r="H810" t="s">
        <v>129</v>
      </c>
      <c r="I810" t="s">
        <v>582</v>
      </c>
      <c r="J810">
        <v>2000</v>
      </c>
      <c r="K810">
        <v>14</v>
      </c>
      <c r="L810">
        <f>VLOOKUP(Merge1[[#This Row],[제품코드]],공정중_우선순위[[제품코드]:[우선순위]],4,0)</f>
        <v>5</v>
      </c>
      <c r="M810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811" spans="1:13" ht="54" x14ac:dyDescent="0.25">
      <c r="A811" t="s">
        <v>555</v>
      </c>
      <c r="B811" t="s">
        <v>569</v>
      </c>
      <c r="C811" t="s">
        <v>575</v>
      </c>
      <c r="D811" t="s">
        <v>150</v>
      </c>
      <c r="E811" t="s">
        <v>151</v>
      </c>
      <c r="F811" t="s">
        <v>576</v>
      </c>
      <c r="G811">
        <v>40</v>
      </c>
      <c r="H811" t="s">
        <v>129</v>
      </c>
      <c r="I811" t="s">
        <v>582</v>
      </c>
      <c r="J811">
        <v>2000</v>
      </c>
      <c r="K811">
        <v>14</v>
      </c>
      <c r="L811">
        <f>VLOOKUP(Merge1[[#This Row],[제품코드]],공정중_우선순위[[제품코드]:[우선순위]],4,0)</f>
        <v>5</v>
      </c>
      <c r="M811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812" spans="1:13" ht="54" x14ac:dyDescent="0.25">
      <c r="A812" t="s">
        <v>555</v>
      </c>
      <c r="B812" t="s">
        <v>569</v>
      </c>
      <c r="C812" t="s">
        <v>577</v>
      </c>
      <c r="D812" t="s">
        <v>150</v>
      </c>
      <c r="E812" t="s">
        <v>151</v>
      </c>
      <c r="F812" t="s">
        <v>578</v>
      </c>
      <c r="G812">
        <v>40</v>
      </c>
      <c r="H812" t="s">
        <v>129</v>
      </c>
      <c r="I812" t="s">
        <v>582</v>
      </c>
      <c r="J812">
        <v>2000</v>
      </c>
      <c r="K812">
        <v>14</v>
      </c>
      <c r="L812">
        <f>VLOOKUP(Merge1[[#This Row],[제품코드]],공정중_우선순위[[제품코드]:[우선순위]],4,0)</f>
        <v>5</v>
      </c>
      <c r="M812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813" spans="1:13" ht="54" x14ac:dyDescent="0.25">
      <c r="A813" t="s">
        <v>555</v>
      </c>
      <c r="B813" t="s">
        <v>569</v>
      </c>
      <c r="C813" t="s">
        <v>580</v>
      </c>
      <c r="D813" t="s">
        <v>150</v>
      </c>
      <c r="E813" t="s">
        <v>151</v>
      </c>
      <c r="F813" t="s">
        <v>581</v>
      </c>
      <c r="G813">
        <v>50</v>
      </c>
      <c r="H813" t="s">
        <v>132</v>
      </c>
      <c r="I813" t="s">
        <v>583</v>
      </c>
      <c r="J813">
        <v>2000</v>
      </c>
      <c r="K813">
        <v>2</v>
      </c>
      <c r="L813">
        <f>VLOOKUP(Merge1[[#This Row],[제품코드]],공정중_우선순위[[제품코드]:[우선순위]],4,0)</f>
        <v>5</v>
      </c>
      <c r="M813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814" spans="1:13" ht="54" x14ac:dyDescent="0.25">
      <c r="A814" t="s">
        <v>555</v>
      </c>
      <c r="B814" t="s">
        <v>569</v>
      </c>
      <c r="C814" t="s">
        <v>570</v>
      </c>
      <c r="D814" t="s">
        <v>150</v>
      </c>
      <c r="E814" t="s">
        <v>151</v>
      </c>
      <c r="F814" t="s">
        <v>571</v>
      </c>
      <c r="G814">
        <v>50</v>
      </c>
      <c r="H814" t="s">
        <v>132</v>
      </c>
      <c r="I814" t="s">
        <v>583</v>
      </c>
      <c r="J814">
        <v>2000</v>
      </c>
      <c r="K814">
        <v>2</v>
      </c>
      <c r="L814">
        <f>VLOOKUP(Merge1[[#This Row],[제품코드]],공정중_우선순위[[제품코드]:[우선순위]],4,0)</f>
        <v>5</v>
      </c>
      <c r="M814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815" spans="1:13" ht="54" x14ac:dyDescent="0.25">
      <c r="A815" t="s">
        <v>555</v>
      </c>
      <c r="B815" t="s">
        <v>569</v>
      </c>
      <c r="C815" t="s">
        <v>573</v>
      </c>
      <c r="D815" t="s">
        <v>150</v>
      </c>
      <c r="E815" t="s">
        <v>151</v>
      </c>
      <c r="F815" t="s">
        <v>574</v>
      </c>
      <c r="G815">
        <v>50</v>
      </c>
      <c r="H815" t="s">
        <v>132</v>
      </c>
      <c r="I815" t="s">
        <v>583</v>
      </c>
      <c r="J815">
        <v>2000</v>
      </c>
      <c r="K815">
        <v>2</v>
      </c>
      <c r="L815">
        <f>VLOOKUP(Merge1[[#This Row],[제품코드]],공정중_우선순위[[제품코드]:[우선순위]],4,0)</f>
        <v>5</v>
      </c>
      <c r="M815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816" spans="1:13" ht="54" x14ac:dyDescent="0.25">
      <c r="A816" t="s">
        <v>555</v>
      </c>
      <c r="B816" t="s">
        <v>569</v>
      </c>
      <c r="C816" t="s">
        <v>575</v>
      </c>
      <c r="D816" t="s">
        <v>150</v>
      </c>
      <c r="E816" t="s">
        <v>151</v>
      </c>
      <c r="F816" t="s">
        <v>576</v>
      </c>
      <c r="G816">
        <v>50</v>
      </c>
      <c r="H816" t="s">
        <v>132</v>
      </c>
      <c r="I816" t="s">
        <v>583</v>
      </c>
      <c r="J816">
        <v>2000</v>
      </c>
      <c r="K816">
        <v>2</v>
      </c>
      <c r="L816">
        <f>VLOOKUP(Merge1[[#This Row],[제품코드]],공정중_우선순위[[제품코드]:[우선순위]],4,0)</f>
        <v>5</v>
      </c>
      <c r="M816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817" spans="1:13" ht="54" x14ac:dyDescent="0.25">
      <c r="A817" t="s">
        <v>555</v>
      </c>
      <c r="B817" t="s">
        <v>569</v>
      </c>
      <c r="C817" t="s">
        <v>577</v>
      </c>
      <c r="D817" t="s">
        <v>150</v>
      </c>
      <c r="E817" t="s">
        <v>151</v>
      </c>
      <c r="F817" t="s">
        <v>578</v>
      </c>
      <c r="G817">
        <v>50</v>
      </c>
      <c r="H817" t="s">
        <v>132</v>
      </c>
      <c r="I817" t="s">
        <v>583</v>
      </c>
      <c r="J817">
        <v>2000</v>
      </c>
      <c r="K817">
        <v>2</v>
      </c>
      <c r="L817">
        <f>VLOOKUP(Merge1[[#This Row],[제품코드]],공정중_우선순위[[제품코드]:[우선순위]],4,0)</f>
        <v>5</v>
      </c>
      <c r="M817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818" spans="1:13" ht="54" x14ac:dyDescent="0.25">
      <c r="A818" t="s">
        <v>555</v>
      </c>
      <c r="B818" t="s">
        <v>569</v>
      </c>
      <c r="C818" t="s">
        <v>580</v>
      </c>
      <c r="D818" t="s">
        <v>150</v>
      </c>
      <c r="E818" t="s">
        <v>151</v>
      </c>
      <c r="F818" t="s">
        <v>581</v>
      </c>
      <c r="G818">
        <v>50</v>
      </c>
      <c r="H818" t="s">
        <v>132</v>
      </c>
      <c r="I818" t="s">
        <v>583</v>
      </c>
      <c r="J818">
        <v>2000</v>
      </c>
      <c r="K818">
        <v>2</v>
      </c>
      <c r="L818">
        <f>VLOOKUP(Merge1[[#This Row],[제품코드]],공정중_우선순위[[제품코드]:[우선순위]],4,0)</f>
        <v>5</v>
      </c>
      <c r="M818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819" spans="1:13" ht="54" x14ac:dyDescent="0.25">
      <c r="A819" t="s">
        <v>555</v>
      </c>
      <c r="B819" t="s">
        <v>569</v>
      </c>
      <c r="C819" t="s">
        <v>570</v>
      </c>
      <c r="D819" t="s">
        <v>150</v>
      </c>
      <c r="E819" t="s">
        <v>151</v>
      </c>
      <c r="F819" t="s">
        <v>571</v>
      </c>
      <c r="G819">
        <v>50</v>
      </c>
      <c r="H819" t="s">
        <v>132</v>
      </c>
      <c r="I819" t="s">
        <v>583</v>
      </c>
      <c r="J819">
        <v>2000</v>
      </c>
      <c r="K819">
        <v>2</v>
      </c>
      <c r="L819">
        <f>VLOOKUP(Merge1[[#This Row],[제품코드]],공정중_우선순위[[제품코드]:[우선순위]],4,0)</f>
        <v>5</v>
      </c>
      <c r="M819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820" spans="1:13" ht="54" x14ac:dyDescent="0.25">
      <c r="A820" t="s">
        <v>555</v>
      </c>
      <c r="B820" t="s">
        <v>569</v>
      </c>
      <c r="C820" t="s">
        <v>573</v>
      </c>
      <c r="D820" t="s">
        <v>150</v>
      </c>
      <c r="E820" t="s">
        <v>151</v>
      </c>
      <c r="F820" t="s">
        <v>574</v>
      </c>
      <c r="G820">
        <v>50</v>
      </c>
      <c r="H820" t="s">
        <v>132</v>
      </c>
      <c r="I820" t="s">
        <v>583</v>
      </c>
      <c r="J820">
        <v>2000</v>
      </c>
      <c r="K820">
        <v>2</v>
      </c>
      <c r="L820">
        <f>VLOOKUP(Merge1[[#This Row],[제품코드]],공정중_우선순위[[제품코드]:[우선순위]],4,0)</f>
        <v>5</v>
      </c>
      <c r="M820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821" spans="1:13" ht="54" x14ac:dyDescent="0.25">
      <c r="A821" t="s">
        <v>555</v>
      </c>
      <c r="B821" t="s">
        <v>569</v>
      </c>
      <c r="C821" t="s">
        <v>575</v>
      </c>
      <c r="D821" t="s">
        <v>150</v>
      </c>
      <c r="E821" t="s">
        <v>151</v>
      </c>
      <c r="F821" t="s">
        <v>576</v>
      </c>
      <c r="G821">
        <v>50</v>
      </c>
      <c r="H821" t="s">
        <v>132</v>
      </c>
      <c r="I821" t="s">
        <v>583</v>
      </c>
      <c r="J821">
        <v>2000</v>
      </c>
      <c r="K821">
        <v>2</v>
      </c>
      <c r="L821">
        <f>VLOOKUP(Merge1[[#This Row],[제품코드]],공정중_우선순위[[제품코드]:[우선순위]],4,0)</f>
        <v>5</v>
      </c>
      <c r="M821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822" spans="1:13" ht="54" x14ac:dyDescent="0.25">
      <c r="A822" t="s">
        <v>555</v>
      </c>
      <c r="B822" t="s">
        <v>569</v>
      </c>
      <c r="C822" t="s">
        <v>577</v>
      </c>
      <c r="D822" t="s">
        <v>150</v>
      </c>
      <c r="E822" t="s">
        <v>151</v>
      </c>
      <c r="F822" t="s">
        <v>578</v>
      </c>
      <c r="G822">
        <v>50</v>
      </c>
      <c r="H822" t="s">
        <v>132</v>
      </c>
      <c r="I822" t="s">
        <v>583</v>
      </c>
      <c r="J822">
        <v>2000</v>
      </c>
      <c r="K822">
        <v>2</v>
      </c>
      <c r="L822">
        <f>VLOOKUP(Merge1[[#This Row],[제품코드]],공정중_우선순위[[제품코드]:[우선순위]],4,0)</f>
        <v>5</v>
      </c>
      <c r="M822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823" spans="1:13" ht="54" x14ac:dyDescent="0.25">
      <c r="A823" t="s">
        <v>555</v>
      </c>
      <c r="B823" t="s">
        <v>569</v>
      </c>
      <c r="C823" t="s">
        <v>584</v>
      </c>
      <c r="D823" t="s">
        <v>150</v>
      </c>
      <c r="E823" t="s">
        <v>151</v>
      </c>
      <c r="F823" t="s">
        <v>585</v>
      </c>
      <c r="G823">
        <v>60</v>
      </c>
      <c r="H823" t="s">
        <v>130</v>
      </c>
      <c r="I823" t="s">
        <v>586</v>
      </c>
      <c r="J823">
        <v>2000</v>
      </c>
      <c r="K823">
        <v>11</v>
      </c>
      <c r="L823">
        <f>VLOOKUP(Merge1[[#This Row],[제품코드]],공정중_우선순위[[제품코드]:[우선순위]],4,0)</f>
        <v>5</v>
      </c>
      <c r="M823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824" spans="1:13" ht="54" x14ac:dyDescent="0.25">
      <c r="A824" t="s">
        <v>555</v>
      </c>
      <c r="B824" t="s">
        <v>569</v>
      </c>
      <c r="C824" t="s">
        <v>580</v>
      </c>
      <c r="D824" t="s">
        <v>150</v>
      </c>
      <c r="E824" t="s">
        <v>151</v>
      </c>
      <c r="F824" t="s">
        <v>581</v>
      </c>
      <c r="G824">
        <v>60</v>
      </c>
      <c r="H824" t="s">
        <v>130</v>
      </c>
      <c r="I824" t="s">
        <v>586</v>
      </c>
      <c r="J824">
        <v>2000</v>
      </c>
      <c r="K824">
        <v>11</v>
      </c>
      <c r="L824">
        <f>VLOOKUP(Merge1[[#This Row],[제품코드]],공정중_우선순위[[제품코드]:[우선순위]],4,0)</f>
        <v>5</v>
      </c>
      <c r="M824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825" spans="1:13" ht="54" x14ac:dyDescent="0.25">
      <c r="A825" t="s">
        <v>555</v>
      </c>
      <c r="B825" t="s">
        <v>569</v>
      </c>
      <c r="C825" t="s">
        <v>570</v>
      </c>
      <c r="D825" t="s">
        <v>150</v>
      </c>
      <c r="E825" t="s">
        <v>151</v>
      </c>
      <c r="F825" t="s">
        <v>571</v>
      </c>
      <c r="G825">
        <v>60</v>
      </c>
      <c r="H825" t="s">
        <v>130</v>
      </c>
      <c r="I825" t="s">
        <v>586</v>
      </c>
      <c r="J825">
        <v>2000</v>
      </c>
      <c r="K825">
        <v>11</v>
      </c>
      <c r="L825">
        <f>VLOOKUP(Merge1[[#This Row],[제품코드]],공정중_우선순위[[제품코드]:[우선순위]],4,0)</f>
        <v>5</v>
      </c>
      <c r="M825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826" spans="1:13" ht="54" x14ac:dyDescent="0.25">
      <c r="A826" t="s">
        <v>555</v>
      </c>
      <c r="B826" t="s">
        <v>569</v>
      </c>
      <c r="C826" t="s">
        <v>573</v>
      </c>
      <c r="D826" t="s">
        <v>150</v>
      </c>
      <c r="E826" t="s">
        <v>151</v>
      </c>
      <c r="F826" t="s">
        <v>574</v>
      </c>
      <c r="G826">
        <v>60</v>
      </c>
      <c r="H826" t="s">
        <v>130</v>
      </c>
      <c r="I826" t="s">
        <v>586</v>
      </c>
      <c r="J826">
        <v>2000</v>
      </c>
      <c r="K826">
        <v>11</v>
      </c>
      <c r="L826">
        <f>VLOOKUP(Merge1[[#This Row],[제품코드]],공정중_우선순위[[제품코드]:[우선순위]],4,0)</f>
        <v>5</v>
      </c>
      <c r="M826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827" spans="1:13" ht="54" x14ac:dyDescent="0.25">
      <c r="A827" t="s">
        <v>555</v>
      </c>
      <c r="B827" t="s">
        <v>569</v>
      </c>
      <c r="C827" t="s">
        <v>575</v>
      </c>
      <c r="D827" t="s">
        <v>150</v>
      </c>
      <c r="E827" t="s">
        <v>151</v>
      </c>
      <c r="F827" t="s">
        <v>576</v>
      </c>
      <c r="G827">
        <v>60</v>
      </c>
      <c r="H827" t="s">
        <v>130</v>
      </c>
      <c r="I827" t="s">
        <v>586</v>
      </c>
      <c r="J827">
        <v>2000</v>
      </c>
      <c r="K827">
        <v>11</v>
      </c>
      <c r="L827">
        <f>VLOOKUP(Merge1[[#This Row],[제품코드]],공정중_우선순위[[제품코드]:[우선순위]],4,0)</f>
        <v>5</v>
      </c>
      <c r="M827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828" spans="1:13" ht="54" x14ac:dyDescent="0.25">
      <c r="A828" t="s">
        <v>555</v>
      </c>
      <c r="B828" t="s">
        <v>569</v>
      </c>
      <c r="C828" t="s">
        <v>577</v>
      </c>
      <c r="D828" t="s">
        <v>150</v>
      </c>
      <c r="E828" t="s">
        <v>151</v>
      </c>
      <c r="F828" t="s">
        <v>578</v>
      </c>
      <c r="G828">
        <v>60</v>
      </c>
      <c r="H828" t="s">
        <v>130</v>
      </c>
      <c r="I828" t="s">
        <v>586</v>
      </c>
      <c r="J828">
        <v>2000</v>
      </c>
      <c r="K828">
        <v>11</v>
      </c>
      <c r="L828">
        <f>VLOOKUP(Merge1[[#This Row],[제품코드]],공정중_우선순위[[제품코드]:[우선순위]],4,0)</f>
        <v>5</v>
      </c>
      <c r="M828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829" spans="1:13" ht="54" x14ac:dyDescent="0.25">
      <c r="A829" t="s">
        <v>555</v>
      </c>
      <c r="B829" t="s">
        <v>569</v>
      </c>
      <c r="C829" t="s">
        <v>584</v>
      </c>
      <c r="D829" t="s">
        <v>150</v>
      </c>
      <c r="E829" t="s">
        <v>151</v>
      </c>
      <c r="F829" t="s">
        <v>585</v>
      </c>
      <c r="G829">
        <v>60</v>
      </c>
      <c r="H829" t="s">
        <v>130</v>
      </c>
      <c r="I829" t="s">
        <v>586</v>
      </c>
      <c r="J829">
        <v>2000</v>
      </c>
      <c r="K829">
        <v>10</v>
      </c>
      <c r="L829">
        <f>VLOOKUP(Merge1[[#This Row],[제품코드]],공정중_우선순위[[제품코드]:[우선순위]],4,0)</f>
        <v>5</v>
      </c>
      <c r="M829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830" spans="1:13" ht="54" x14ac:dyDescent="0.25">
      <c r="A830" t="s">
        <v>555</v>
      </c>
      <c r="B830" t="s">
        <v>569</v>
      </c>
      <c r="C830" t="s">
        <v>580</v>
      </c>
      <c r="D830" t="s">
        <v>150</v>
      </c>
      <c r="E830" t="s">
        <v>151</v>
      </c>
      <c r="F830" t="s">
        <v>581</v>
      </c>
      <c r="G830">
        <v>60</v>
      </c>
      <c r="H830" t="s">
        <v>130</v>
      </c>
      <c r="I830" t="s">
        <v>586</v>
      </c>
      <c r="J830">
        <v>2000</v>
      </c>
      <c r="K830">
        <v>10</v>
      </c>
      <c r="L830">
        <f>VLOOKUP(Merge1[[#This Row],[제품코드]],공정중_우선순위[[제품코드]:[우선순위]],4,0)</f>
        <v>5</v>
      </c>
      <c r="M830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831" spans="1:13" ht="54" x14ac:dyDescent="0.25">
      <c r="A831" t="s">
        <v>555</v>
      </c>
      <c r="B831" t="s">
        <v>569</v>
      </c>
      <c r="C831" t="s">
        <v>570</v>
      </c>
      <c r="D831" t="s">
        <v>150</v>
      </c>
      <c r="E831" t="s">
        <v>151</v>
      </c>
      <c r="F831" t="s">
        <v>571</v>
      </c>
      <c r="G831">
        <v>60</v>
      </c>
      <c r="H831" t="s">
        <v>130</v>
      </c>
      <c r="I831" t="s">
        <v>586</v>
      </c>
      <c r="J831">
        <v>2000</v>
      </c>
      <c r="K831">
        <v>10</v>
      </c>
      <c r="L831">
        <f>VLOOKUP(Merge1[[#This Row],[제품코드]],공정중_우선순위[[제품코드]:[우선순위]],4,0)</f>
        <v>5</v>
      </c>
      <c r="M831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832" spans="1:13" ht="54" x14ac:dyDescent="0.25">
      <c r="A832" t="s">
        <v>555</v>
      </c>
      <c r="B832" t="s">
        <v>569</v>
      </c>
      <c r="C832" t="s">
        <v>573</v>
      </c>
      <c r="D832" t="s">
        <v>150</v>
      </c>
      <c r="E832" t="s">
        <v>151</v>
      </c>
      <c r="F832" t="s">
        <v>574</v>
      </c>
      <c r="G832">
        <v>60</v>
      </c>
      <c r="H832" t="s">
        <v>130</v>
      </c>
      <c r="I832" t="s">
        <v>586</v>
      </c>
      <c r="J832">
        <v>2000</v>
      </c>
      <c r="K832">
        <v>10</v>
      </c>
      <c r="L832">
        <f>VLOOKUP(Merge1[[#This Row],[제품코드]],공정중_우선순위[[제품코드]:[우선순위]],4,0)</f>
        <v>5</v>
      </c>
      <c r="M832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833" spans="1:13" ht="54" x14ac:dyDescent="0.25">
      <c r="A833" t="s">
        <v>555</v>
      </c>
      <c r="B833" t="s">
        <v>569</v>
      </c>
      <c r="C833" t="s">
        <v>575</v>
      </c>
      <c r="D833" t="s">
        <v>150</v>
      </c>
      <c r="E833" t="s">
        <v>151</v>
      </c>
      <c r="F833" t="s">
        <v>576</v>
      </c>
      <c r="G833">
        <v>60</v>
      </c>
      <c r="H833" t="s">
        <v>130</v>
      </c>
      <c r="I833" t="s">
        <v>586</v>
      </c>
      <c r="J833">
        <v>2000</v>
      </c>
      <c r="K833">
        <v>10</v>
      </c>
      <c r="L833">
        <f>VLOOKUP(Merge1[[#This Row],[제품코드]],공정중_우선순위[[제품코드]:[우선순위]],4,0)</f>
        <v>5</v>
      </c>
      <c r="M833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834" spans="1:13" ht="54" x14ac:dyDescent="0.25">
      <c r="A834" t="s">
        <v>555</v>
      </c>
      <c r="B834" t="s">
        <v>569</v>
      </c>
      <c r="C834" t="s">
        <v>577</v>
      </c>
      <c r="D834" t="s">
        <v>150</v>
      </c>
      <c r="E834" t="s">
        <v>151</v>
      </c>
      <c r="F834" t="s">
        <v>578</v>
      </c>
      <c r="G834">
        <v>60</v>
      </c>
      <c r="H834" t="s">
        <v>130</v>
      </c>
      <c r="I834" t="s">
        <v>586</v>
      </c>
      <c r="J834">
        <v>2000</v>
      </c>
      <c r="K834">
        <v>10</v>
      </c>
      <c r="L834">
        <f>VLOOKUP(Merge1[[#This Row],[제품코드]],공정중_우선순위[[제품코드]:[우선순위]],4,0)</f>
        <v>5</v>
      </c>
      <c r="M834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835" spans="1:13" ht="67.5" x14ac:dyDescent="0.25">
      <c r="A835" t="s">
        <v>555</v>
      </c>
      <c r="B835" t="s">
        <v>635</v>
      </c>
      <c r="C835" t="s">
        <v>714</v>
      </c>
      <c r="D835" t="s">
        <v>183</v>
      </c>
      <c r="E835" t="s">
        <v>184</v>
      </c>
      <c r="F835" t="s">
        <v>715</v>
      </c>
      <c r="G835">
        <v>60</v>
      </c>
      <c r="H835" t="s">
        <v>130</v>
      </c>
      <c r="I835" t="s">
        <v>586</v>
      </c>
      <c r="J835">
        <v>7041</v>
      </c>
      <c r="K835">
        <v>9</v>
      </c>
      <c r="L835">
        <f>VLOOKUP(Merge1[[#This Row],[제품코드]],공정중_우선순위[[제품코드]:[우선순위]],4,0)</f>
        <v>6</v>
      </c>
      <c r="M835" s="10" t="str">
        <f>_xlfn.TEXTJOIN(CHAR(10), TRUE, ,Merge1[[#This Row],[제품명]],Merge1[[#This Row],[오더번호]],Merge1[[#This Row],[제조번호]],Merge1[[#This Row],[지시수량]])</f>
        <v>제이비피플라몬주 10A (파마리서치)
1015661
25006A
7041</v>
      </c>
    </row>
    <row r="836" spans="1:13" ht="54" x14ac:dyDescent="0.25">
      <c r="A836" t="s">
        <v>555</v>
      </c>
      <c r="B836" t="s">
        <v>635</v>
      </c>
      <c r="C836" t="s">
        <v>636</v>
      </c>
      <c r="D836" t="s">
        <v>165</v>
      </c>
      <c r="E836" t="s">
        <v>166</v>
      </c>
      <c r="F836" t="s">
        <v>637</v>
      </c>
      <c r="G836">
        <v>20</v>
      </c>
      <c r="H836" t="s">
        <v>126</v>
      </c>
      <c r="I836" t="s">
        <v>638</v>
      </c>
      <c r="J836">
        <v>4000</v>
      </c>
      <c r="K836">
        <v>4</v>
      </c>
      <c r="L836">
        <f>VLOOKUP(Merge1[[#This Row],[제품코드]],공정중_우선순위[[제품코드]:[우선순위]],4,0)</f>
        <v>7</v>
      </c>
      <c r="M836" s="10" t="str">
        <f>_xlfn.TEXTJOIN(CHAR(10), TRUE, ,Merge1[[#This Row],[제품명]],Merge1[[#This Row],[오더번호]],Merge1[[#This Row],[제조번호]],Merge1[[#This Row],[지시수량]])</f>
        <v>에취투주200MG 50A (중외제약)
1015612
25013
4000</v>
      </c>
    </row>
    <row r="837" spans="1:13" ht="54" x14ac:dyDescent="0.25">
      <c r="A837" t="s">
        <v>555</v>
      </c>
      <c r="B837" t="s">
        <v>635</v>
      </c>
      <c r="C837" t="s">
        <v>639</v>
      </c>
      <c r="D837" t="s">
        <v>165</v>
      </c>
      <c r="E837" t="s">
        <v>166</v>
      </c>
      <c r="F837" t="s">
        <v>640</v>
      </c>
      <c r="G837">
        <v>20</v>
      </c>
      <c r="H837" t="s">
        <v>126</v>
      </c>
      <c r="I837" t="s">
        <v>638</v>
      </c>
      <c r="J837">
        <v>4000</v>
      </c>
      <c r="K837">
        <v>4</v>
      </c>
      <c r="L837">
        <f>VLOOKUP(Merge1[[#This Row],[제품코드]],공정중_우선순위[[제품코드]:[우선순위]],4,0)</f>
        <v>7</v>
      </c>
      <c r="M837" s="10" t="str">
        <f>_xlfn.TEXTJOIN(CHAR(10), TRUE, ,Merge1[[#This Row],[제품명]],Merge1[[#This Row],[오더번호]],Merge1[[#This Row],[제조번호]],Merge1[[#This Row],[지시수량]])</f>
        <v>에취투주200MG 50A (중외제약)
1015613
25014
4000</v>
      </c>
    </row>
    <row r="838" spans="1:13" ht="54" x14ac:dyDescent="0.25">
      <c r="A838" t="s">
        <v>555</v>
      </c>
      <c r="B838" t="s">
        <v>635</v>
      </c>
      <c r="C838" t="s">
        <v>641</v>
      </c>
      <c r="D838" t="s">
        <v>165</v>
      </c>
      <c r="E838" t="s">
        <v>166</v>
      </c>
      <c r="F838" t="s">
        <v>642</v>
      </c>
      <c r="G838">
        <v>20</v>
      </c>
      <c r="H838" t="s">
        <v>126</v>
      </c>
      <c r="I838" t="s">
        <v>638</v>
      </c>
      <c r="J838">
        <v>4000</v>
      </c>
      <c r="K838">
        <v>4</v>
      </c>
      <c r="L838">
        <f>VLOOKUP(Merge1[[#This Row],[제품코드]],공정중_우선순위[[제품코드]:[우선순위]],4,0)</f>
        <v>7</v>
      </c>
      <c r="M838" s="10" t="str">
        <f>_xlfn.TEXTJOIN(CHAR(10), TRUE, ,Merge1[[#This Row],[제품명]],Merge1[[#This Row],[오더번호]],Merge1[[#This Row],[제조번호]],Merge1[[#This Row],[지시수량]])</f>
        <v>에취투주200MG 50A (중외제약)
1015684
25015
4000</v>
      </c>
    </row>
    <row r="839" spans="1:13" ht="54" x14ac:dyDescent="0.25">
      <c r="A839" t="s">
        <v>555</v>
      </c>
      <c r="B839" t="s">
        <v>635</v>
      </c>
      <c r="C839" t="s">
        <v>636</v>
      </c>
      <c r="D839" t="s">
        <v>165</v>
      </c>
      <c r="E839" t="s">
        <v>166</v>
      </c>
      <c r="F839" t="s">
        <v>637</v>
      </c>
      <c r="G839">
        <v>30</v>
      </c>
      <c r="H839" t="s">
        <v>127</v>
      </c>
      <c r="I839" t="s">
        <v>643</v>
      </c>
      <c r="J839">
        <v>4000</v>
      </c>
      <c r="K839">
        <v>21</v>
      </c>
      <c r="L839">
        <f>VLOOKUP(Merge1[[#This Row],[제품코드]],공정중_우선순위[[제품코드]:[우선순위]],4,0)</f>
        <v>7</v>
      </c>
      <c r="M839" s="10" t="str">
        <f>_xlfn.TEXTJOIN(CHAR(10), TRUE, ,Merge1[[#This Row],[제품명]],Merge1[[#This Row],[오더번호]],Merge1[[#This Row],[제조번호]],Merge1[[#This Row],[지시수량]])</f>
        <v>에취투주200MG 50A (중외제약)
1015612
25013
4000</v>
      </c>
    </row>
    <row r="840" spans="1:13" ht="54" x14ac:dyDescent="0.25">
      <c r="A840" t="s">
        <v>555</v>
      </c>
      <c r="B840" t="s">
        <v>635</v>
      </c>
      <c r="C840" t="s">
        <v>639</v>
      </c>
      <c r="D840" t="s">
        <v>165</v>
      </c>
      <c r="E840" t="s">
        <v>166</v>
      </c>
      <c r="F840" t="s">
        <v>640</v>
      </c>
      <c r="G840">
        <v>30</v>
      </c>
      <c r="H840" t="s">
        <v>127</v>
      </c>
      <c r="I840" t="s">
        <v>643</v>
      </c>
      <c r="J840">
        <v>4000</v>
      </c>
      <c r="K840">
        <v>21</v>
      </c>
      <c r="L840">
        <f>VLOOKUP(Merge1[[#This Row],[제품코드]],공정중_우선순위[[제품코드]:[우선순위]],4,0)</f>
        <v>7</v>
      </c>
      <c r="M840" s="10" t="str">
        <f>_xlfn.TEXTJOIN(CHAR(10), TRUE, ,Merge1[[#This Row],[제품명]],Merge1[[#This Row],[오더번호]],Merge1[[#This Row],[제조번호]],Merge1[[#This Row],[지시수량]])</f>
        <v>에취투주200MG 50A (중외제약)
1015613
25014
4000</v>
      </c>
    </row>
    <row r="841" spans="1:13" ht="54" x14ac:dyDescent="0.25">
      <c r="A841" t="s">
        <v>555</v>
      </c>
      <c r="B841" t="s">
        <v>635</v>
      </c>
      <c r="C841" t="s">
        <v>641</v>
      </c>
      <c r="D841" t="s">
        <v>165</v>
      </c>
      <c r="E841" t="s">
        <v>166</v>
      </c>
      <c r="F841" t="s">
        <v>642</v>
      </c>
      <c r="G841">
        <v>30</v>
      </c>
      <c r="H841" t="s">
        <v>127</v>
      </c>
      <c r="I841" t="s">
        <v>643</v>
      </c>
      <c r="J841">
        <v>4000</v>
      </c>
      <c r="K841">
        <v>21</v>
      </c>
      <c r="L841">
        <f>VLOOKUP(Merge1[[#This Row],[제품코드]],공정중_우선순위[[제품코드]:[우선순위]],4,0)</f>
        <v>7</v>
      </c>
      <c r="M841" s="10" t="str">
        <f>_xlfn.TEXTJOIN(CHAR(10), TRUE, ,Merge1[[#This Row],[제품명]],Merge1[[#This Row],[오더번호]],Merge1[[#This Row],[제조번호]],Merge1[[#This Row],[지시수량]])</f>
        <v>에취투주200MG 50A (중외제약)
1015684
25015
4000</v>
      </c>
    </row>
    <row r="842" spans="1:13" ht="54" x14ac:dyDescent="0.25">
      <c r="A842" t="s">
        <v>555</v>
      </c>
      <c r="B842" t="s">
        <v>635</v>
      </c>
      <c r="C842" t="s">
        <v>636</v>
      </c>
      <c r="D842" t="s">
        <v>165</v>
      </c>
      <c r="E842" t="s">
        <v>166</v>
      </c>
      <c r="F842" t="s">
        <v>637</v>
      </c>
      <c r="G842">
        <v>40</v>
      </c>
      <c r="H842" t="s">
        <v>129</v>
      </c>
      <c r="I842" t="s">
        <v>644</v>
      </c>
      <c r="J842">
        <v>4000</v>
      </c>
      <c r="K842">
        <v>21</v>
      </c>
      <c r="L842">
        <f>VLOOKUP(Merge1[[#This Row],[제품코드]],공정중_우선순위[[제품코드]:[우선순위]],4,0)</f>
        <v>7</v>
      </c>
      <c r="M842" s="10" t="str">
        <f>_xlfn.TEXTJOIN(CHAR(10), TRUE, ,Merge1[[#This Row],[제품명]],Merge1[[#This Row],[오더번호]],Merge1[[#This Row],[제조번호]],Merge1[[#This Row],[지시수량]])</f>
        <v>에취투주200MG 50A (중외제약)
1015612
25013
4000</v>
      </c>
    </row>
    <row r="843" spans="1:13" ht="54" x14ac:dyDescent="0.25">
      <c r="A843" t="s">
        <v>555</v>
      </c>
      <c r="B843" t="s">
        <v>635</v>
      </c>
      <c r="C843" t="s">
        <v>639</v>
      </c>
      <c r="D843" t="s">
        <v>165</v>
      </c>
      <c r="E843" t="s">
        <v>166</v>
      </c>
      <c r="F843" t="s">
        <v>640</v>
      </c>
      <c r="G843">
        <v>40</v>
      </c>
      <c r="H843" t="s">
        <v>129</v>
      </c>
      <c r="I843" t="s">
        <v>644</v>
      </c>
      <c r="J843">
        <v>4000</v>
      </c>
      <c r="K843">
        <v>21</v>
      </c>
      <c r="L843">
        <f>VLOOKUP(Merge1[[#This Row],[제품코드]],공정중_우선순위[[제품코드]:[우선순위]],4,0)</f>
        <v>7</v>
      </c>
      <c r="M843" s="10" t="str">
        <f>_xlfn.TEXTJOIN(CHAR(10), TRUE, ,Merge1[[#This Row],[제품명]],Merge1[[#This Row],[오더번호]],Merge1[[#This Row],[제조번호]],Merge1[[#This Row],[지시수량]])</f>
        <v>에취투주200MG 50A (중외제약)
1015613
25014
4000</v>
      </c>
    </row>
    <row r="844" spans="1:13" ht="54" x14ac:dyDescent="0.25">
      <c r="A844" t="s">
        <v>555</v>
      </c>
      <c r="B844" t="s">
        <v>635</v>
      </c>
      <c r="C844" t="s">
        <v>641</v>
      </c>
      <c r="D844" t="s">
        <v>165</v>
      </c>
      <c r="E844" t="s">
        <v>166</v>
      </c>
      <c r="F844" t="s">
        <v>642</v>
      </c>
      <c r="G844">
        <v>40</v>
      </c>
      <c r="H844" t="s">
        <v>129</v>
      </c>
      <c r="I844" t="s">
        <v>644</v>
      </c>
      <c r="J844">
        <v>4000</v>
      </c>
      <c r="K844">
        <v>21</v>
      </c>
      <c r="L844">
        <f>VLOOKUP(Merge1[[#This Row],[제품코드]],공정중_우선순위[[제품코드]:[우선순위]],4,0)</f>
        <v>7</v>
      </c>
      <c r="M844" s="10" t="str">
        <f>_xlfn.TEXTJOIN(CHAR(10), TRUE, ,Merge1[[#This Row],[제품명]],Merge1[[#This Row],[오더번호]],Merge1[[#This Row],[제조번호]],Merge1[[#This Row],[지시수량]])</f>
        <v>에취투주200MG 50A (중외제약)
1015684
25015
4000</v>
      </c>
    </row>
    <row r="845" spans="1:13" ht="54" x14ac:dyDescent="0.25">
      <c r="A845" t="s">
        <v>555</v>
      </c>
      <c r="B845" t="s">
        <v>635</v>
      </c>
      <c r="C845" t="s">
        <v>636</v>
      </c>
      <c r="D845" t="s">
        <v>165</v>
      </c>
      <c r="E845" t="s">
        <v>166</v>
      </c>
      <c r="F845" t="s">
        <v>637</v>
      </c>
      <c r="G845">
        <v>60</v>
      </c>
      <c r="H845" t="s">
        <v>130</v>
      </c>
      <c r="I845" t="s">
        <v>586</v>
      </c>
      <c r="J845">
        <v>4000</v>
      </c>
      <c r="K845">
        <v>19</v>
      </c>
      <c r="L845">
        <f>VLOOKUP(Merge1[[#This Row],[제품코드]],공정중_우선순위[[제품코드]:[우선순위]],4,0)</f>
        <v>7</v>
      </c>
      <c r="M845" s="10" t="str">
        <f>_xlfn.TEXTJOIN(CHAR(10), TRUE, ,Merge1[[#This Row],[제품명]],Merge1[[#This Row],[오더번호]],Merge1[[#This Row],[제조번호]],Merge1[[#This Row],[지시수량]])</f>
        <v>에취투주200MG 50A (중외제약)
1015612
25013
4000</v>
      </c>
    </row>
    <row r="846" spans="1:13" ht="54" x14ac:dyDescent="0.25">
      <c r="A846" t="s">
        <v>555</v>
      </c>
      <c r="B846" t="s">
        <v>635</v>
      </c>
      <c r="C846" t="s">
        <v>639</v>
      </c>
      <c r="D846" t="s">
        <v>165</v>
      </c>
      <c r="E846" t="s">
        <v>166</v>
      </c>
      <c r="F846" t="s">
        <v>640</v>
      </c>
      <c r="G846">
        <v>60</v>
      </c>
      <c r="H846" t="s">
        <v>130</v>
      </c>
      <c r="I846" t="s">
        <v>586</v>
      </c>
      <c r="J846">
        <v>4000</v>
      </c>
      <c r="K846">
        <v>19</v>
      </c>
      <c r="L846">
        <f>VLOOKUP(Merge1[[#This Row],[제품코드]],공정중_우선순위[[제품코드]:[우선순위]],4,0)</f>
        <v>7</v>
      </c>
      <c r="M846" s="10" t="str">
        <f>_xlfn.TEXTJOIN(CHAR(10), TRUE, ,Merge1[[#This Row],[제품명]],Merge1[[#This Row],[오더번호]],Merge1[[#This Row],[제조번호]],Merge1[[#This Row],[지시수량]])</f>
        <v>에취투주200MG 50A (중외제약)
1015613
25014
4000</v>
      </c>
    </row>
    <row r="847" spans="1:13" ht="54" x14ac:dyDescent="0.25">
      <c r="A847" t="s">
        <v>555</v>
      </c>
      <c r="B847" t="s">
        <v>635</v>
      </c>
      <c r="C847" t="s">
        <v>641</v>
      </c>
      <c r="D847" t="s">
        <v>165</v>
      </c>
      <c r="E847" t="s">
        <v>166</v>
      </c>
      <c r="F847" t="s">
        <v>642</v>
      </c>
      <c r="G847">
        <v>60</v>
      </c>
      <c r="H847" t="s">
        <v>130</v>
      </c>
      <c r="I847" t="s">
        <v>586</v>
      </c>
      <c r="J847">
        <v>4000</v>
      </c>
      <c r="K847">
        <v>19</v>
      </c>
      <c r="L847">
        <f>VLOOKUP(Merge1[[#This Row],[제품코드]],공정중_우선순위[[제품코드]:[우선순위]],4,0)</f>
        <v>7</v>
      </c>
      <c r="M847" s="10" t="str">
        <f>_xlfn.TEXTJOIN(CHAR(10), TRUE, ,Merge1[[#This Row],[제품명]],Merge1[[#This Row],[오더번호]],Merge1[[#This Row],[제조번호]],Merge1[[#This Row],[지시수량]])</f>
        <v>에취투주200MG 50A (중외제약)
1015684
25015
4000</v>
      </c>
    </row>
    <row r="848" spans="1:13" ht="54" x14ac:dyDescent="0.25">
      <c r="A848" t="s">
        <v>555</v>
      </c>
      <c r="B848" t="s">
        <v>635</v>
      </c>
      <c r="C848" t="s">
        <v>679</v>
      </c>
      <c r="D848" t="s">
        <v>175</v>
      </c>
      <c r="E848" t="s">
        <v>176</v>
      </c>
      <c r="F848" t="s">
        <v>680</v>
      </c>
      <c r="G848">
        <v>20</v>
      </c>
      <c r="H848" t="s">
        <v>126</v>
      </c>
      <c r="I848" t="s">
        <v>638</v>
      </c>
      <c r="J848">
        <v>76000</v>
      </c>
      <c r="K848">
        <v>2</v>
      </c>
      <c r="L848">
        <f>VLOOKUP(Merge1[[#This Row],[제품코드]],공정중_우선순위[[제품코드]:[우선순위]],4,0)</f>
        <v>8</v>
      </c>
      <c r="M848" s="10" t="str">
        <f>_xlfn.TEXTJOIN(CHAR(10), TRUE, ,Merge1[[#This Row],[제품명]],Merge1[[#This Row],[오더번호]],Merge1[[#This Row],[제조번호]],Merge1[[#This Row],[지시수량]])</f>
        <v>프레디솔주125MG 1A (이연제약)
1013654
R25006
76000</v>
      </c>
    </row>
    <row r="849" spans="1:13" ht="54" x14ac:dyDescent="0.25">
      <c r="A849" t="s">
        <v>555</v>
      </c>
      <c r="B849" t="s">
        <v>635</v>
      </c>
      <c r="C849" t="s">
        <v>679</v>
      </c>
      <c r="D849" t="s">
        <v>175</v>
      </c>
      <c r="E849" t="s">
        <v>176</v>
      </c>
      <c r="F849" t="s">
        <v>680</v>
      </c>
      <c r="G849">
        <v>30</v>
      </c>
      <c r="H849" t="s">
        <v>127</v>
      </c>
      <c r="I849" t="s">
        <v>643</v>
      </c>
      <c r="J849">
        <v>76000</v>
      </c>
      <c r="K849">
        <v>9</v>
      </c>
      <c r="L849">
        <f>VLOOKUP(Merge1[[#This Row],[제품코드]],공정중_우선순위[[제품코드]:[우선순위]],4,0)</f>
        <v>8</v>
      </c>
      <c r="M849" s="10" t="str">
        <f>_xlfn.TEXTJOIN(CHAR(10), TRUE, ,Merge1[[#This Row],[제품명]],Merge1[[#This Row],[오더번호]],Merge1[[#This Row],[제조번호]],Merge1[[#This Row],[지시수량]])</f>
        <v>프레디솔주125MG 1A (이연제약)
1013654
R25006
76000</v>
      </c>
    </row>
    <row r="850" spans="1:13" ht="54" x14ac:dyDescent="0.25">
      <c r="A850" t="s">
        <v>555</v>
      </c>
      <c r="B850" t="s">
        <v>635</v>
      </c>
      <c r="C850" t="s">
        <v>679</v>
      </c>
      <c r="D850" t="s">
        <v>175</v>
      </c>
      <c r="E850" t="s">
        <v>176</v>
      </c>
      <c r="F850" t="s">
        <v>680</v>
      </c>
      <c r="G850">
        <v>40</v>
      </c>
      <c r="H850" t="s">
        <v>129</v>
      </c>
      <c r="I850" t="s">
        <v>644</v>
      </c>
      <c r="J850">
        <v>76000</v>
      </c>
      <c r="K850">
        <v>12</v>
      </c>
      <c r="L850">
        <f>VLOOKUP(Merge1[[#This Row],[제품코드]],공정중_우선순위[[제품코드]:[우선순위]],4,0)</f>
        <v>8</v>
      </c>
      <c r="M850" s="10" t="str">
        <f>_xlfn.TEXTJOIN(CHAR(10), TRUE, ,Merge1[[#This Row],[제품명]],Merge1[[#This Row],[오더번호]],Merge1[[#This Row],[제조번호]],Merge1[[#This Row],[지시수량]])</f>
        <v>프레디솔주125MG 1A (이연제약)
1013654
R25006
76000</v>
      </c>
    </row>
    <row r="851" spans="1:13" ht="54" x14ac:dyDescent="0.25">
      <c r="A851" t="s">
        <v>555</v>
      </c>
      <c r="B851" t="s">
        <v>635</v>
      </c>
      <c r="C851" t="s">
        <v>679</v>
      </c>
      <c r="D851" t="s">
        <v>175</v>
      </c>
      <c r="E851" t="s">
        <v>176</v>
      </c>
      <c r="F851" t="s">
        <v>680</v>
      </c>
      <c r="G851">
        <v>50</v>
      </c>
      <c r="H851" t="s">
        <v>132</v>
      </c>
      <c r="I851" t="s">
        <v>583</v>
      </c>
      <c r="J851">
        <v>76000</v>
      </c>
      <c r="K851">
        <v>2</v>
      </c>
      <c r="L851">
        <f>VLOOKUP(Merge1[[#This Row],[제품코드]],공정중_우선순위[[제품코드]:[우선순위]],4,0)</f>
        <v>8</v>
      </c>
      <c r="M851" s="10" t="str">
        <f>_xlfn.TEXTJOIN(CHAR(10), TRUE, ,Merge1[[#This Row],[제품명]],Merge1[[#This Row],[오더번호]],Merge1[[#This Row],[제조번호]],Merge1[[#This Row],[지시수량]])</f>
        <v>프레디솔주125MG 1A (이연제약)
1013654
R25006
76000</v>
      </c>
    </row>
    <row r="852" spans="1:13" ht="54" x14ac:dyDescent="0.25">
      <c r="A852" t="s">
        <v>555</v>
      </c>
      <c r="B852" t="s">
        <v>635</v>
      </c>
      <c r="C852" t="s">
        <v>679</v>
      </c>
      <c r="D852" t="s">
        <v>175</v>
      </c>
      <c r="E852" t="s">
        <v>176</v>
      </c>
      <c r="F852" t="s">
        <v>680</v>
      </c>
      <c r="G852">
        <v>60</v>
      </c>
      <c r="H852" t="s">
        <v>130</v>
      </c>
      <c r="I852" t="s">
        <v>586</v>
      </c>
      <c r="J852">
        <v>76000</v>
      </c>
      <c r="K852">
        <v>9</v>
      </c>
      <c r="L852">
        <f>VLOOKUP(Merge1[[#This Row],[제품코드]],공정중_우선순위[[제품코드]:[우선순위]],4,0)</f>
        <v>8</v>
      </c>
      <c r="M852" s="10" t="str">
        <f>_xlfn.TEXTJOIN(CHAR(10), TRUE, ,Merge1[[#This Row],[제품명]],Merge1[[#This Row],[오더번호]],Merge1[[#This Row],[제조번호]],Merge1[[#This Row],[지시수량]])</f>
        <v>프레디솔주125MG 1A (이연제약)
1013654
R25006
76000</v>
      </c>
    </row>
    <row r="853" spans="1:13" ht="54" x14ac:dyDescent="0.25">
      <c r="A853" t="s">
        <v>555</v>
      </c>
      <c r="B853" t="s">
        <v>603</v>
      </c>
      <c r="C853" t="s">
        <v>649</v>
      </c>
      <c r="D853" t="s">
        <v>167</v>
      </c>
      <c r="E853" t="s">
        <v>168</v>
      </c>
      <c r="F853" t="s">
        <v>650</v>
      </c>
      <c r="G853">
        <v>20</v>
      </c>
      <c r="H853" t="s">
        <v>126</v>
      </c>
      <c r="I853" t="s">
        <v>572</v>
      </c>
      <c r="J853">
        <v>4000</v>
      </c>
      <c r="K853">
        <v>3</v>
      </c>
      <c r="L853">
        <f>VLOOKUP(Merge1[[#This Row],[제품코드]],공정중_우선순위[[제품코드]:[우선순위]],4,0)</f>
        <v>9</v>
      </c>
      <c r="M853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854" spans="1:13" ht="54" x14ac:dyDescent="0.25">
      <c r="A854" t="s">
        <v>555</v>
      </c>
      <c r="B854" t="s">
        <v>603</v>
      </c>
      <c r="C854" t="s">
        <v>615</v>
      </c>
      <c r="D854" t="s">
        <v>167</v>
      </c>
      <c r="E854" t="s">
        <v>168</v>
      </c>
      <c r="F854" t="s">
        <v>651</v>
      </c>
      <c r="G854">
        <v>20</v>
      </c>
      <c r="H854" t="s">
        <v>126</v>
      </c>
      <c r="I854" t="s">
        <v>572</v>
      </c>
      <c r="J854">
        <v>4000</v>
      </c>
      <c r="K854">
        <v>3</v>
      </c>
      <c r="L854">
        <f>VLOOKUP(Merge1[[#This Row],[제품코드]],공정중_우선순위[[제품코드]:[우선순위]],4,0)</f>
        <v>9</v>
      </c>
      <c r="M854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855" spans="1:13" ht="54" x14ac:dyDescent="0.25">
      <c r="A855" t="s">
        <v>555</v>
      </c>
      <c r="B855" t="s">
        <v>603</v>
      </c>
      <c r="C855" t="s">
        <v>649</v>
      </c>
      <c r="D855" t="s">
        <v>167</v>
      </c>
      <c r="E855" t="s">
        <v>168</v>
      </c>
      <c r="F855" t="s">
        <v>650</v>
      </c>
      <c r="G855">
        <v>30</v>
      </c>
      <c r="H855" t="s">
        <v>127</v>
      </c>
      <c r="I855" t="s">
        <v>579</v>
      </c>
      <c r="J855">
        <v>4000</v>
      </c>
      <c r="K855">
        <v>7</v>
      </c>
      <c r="L855">
        <f>VLOOKUP(Merge1[[#This Row],[제품코드]],공정중_우선순위[[제품코드]:[우선순위]],4,0)</f>
        <v>9</v>
      </c>
      <c r="M855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856" spans="1:13" ht="54" x14ac:dyDescent="0.25">
      <c r="A856" t="s">
        <v>555</v>
      </c>
      <c r="B856" t="s">
        <v>603</v>
      </c>
      <c r="C856" t="s">
        <v>615</v>
      </c>
      <c r="D856" t="s">
        <v>167</v>
      </c>
      <c r="E856" t="s">
        <v>168</v>
      </c>
      <c r="F856" t="s">
        <v>651</v>
      </c>
      <c r="G856">
        <v>30</v>
      </c>
      <c r="H856" t="s">
        <v>127</v>
      </c>
      <c r="I856" t="s">
        <v>579</v>
      </c>
      <c r="J856">
        <v>4000</v>
      </c>
      <c r="K856">
        <v>7</v>
      </c>
      <c r="L856">
        <f>VLOOKUP(Merge1[[#This Row],[제품코드]],공정중_우선순위[[제품코드]:[우선순위]],4,0)</f>
        <v>9</v>
      </c>
      <c r="M856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857" spans="1:13" ht="54" x14ac:dyDescent="0.25">
      <c r="A857" t="s">
        <v>555</v>
      </c>
      <c r="B857" t="s">
        <v>603</v>
      </c>
      <c r="C857" t="s">
        <v>649</v>
      </c>
      <c r="D857" t="s">
        <v>167</v>
      </c>
      <c r="E857" t="s">
        <v>168</v>
      </c>
      <c r="F857" t="s">
        <v>650</v>
      </c>
      <c r="G857">
        <v>40</v>
      </c>
      <c r="H857" t="s">
        <v>129</v>
      </c>
      <c r="I857" t="s">
        <v>582</v>
      </c>
      <c r="J857">
        <v>4000</v>
      </c>
      <c r="K857">
        <v>10</v>
      </c>
      <c r="L857">
        <f>VLOOKUP(Merge1[[#This Row],[제품코드]],공정중_우선순위[[제품코드]:[우선순위]],4,0)</f>
        <v>9</v>
      </c>
      <c r="M857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858" spans="1:13" ht="54" x14ac:dyDescent="0.25">
      <c r="A858" t="s">
        <v>555</v>
      </c>
      <c r="B858" t="s">
        <v>603</v>
      </c>
      <c r="C858" t="s">
        <v>615</v>
      </c>
      <c r="D858" t="s">
        <v>167</v>
      </c>
      <c r="E858" t="s">
        <v>168</v>
      </c>
      <c r="F858" t="s">
        <v>651</v>
      </c>
      <c r="G858">
        <v>40</v>
      </c>
      <c r="H858" t="s">
        <v>129</v>
      </c>
      <c r="I858" t="s">
        <v>582</v>
      </c>
      <c r="J858">
        <v>4000</v>
      </c>
      <c r="K858">
        <v>10</v>
      </c>
      <c r="L858">
        <f>VLOOKUP(Merge1[[#This Row],[제품코드]],공정중_우선순위[[제품코드]:[우선순위]],4,0)</f>
        <v>9</v>
      </c>
      <c r="M858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859" spans="1:13" ht="54" x14ac:dyDescent="0.25">
      <c r="A859" t="s">
        <v>555</v>
      </c>
      <c r="B859" t="s">
        <v>603</v>
      </c>
      <c r="C859" t="s">
        <v>649</v>
      </c>
      <c r="D859" t="s">
        <v>167</v>
      </c>
      <c r="E859" t="s">
        <v>168</v>
      </c>
      <c r="F859" t="s">
        <v>650</v>
      </c>
      <c r="G859">
        <v>50</v>
      </c>
      <c r="H859" t="s">
        <v>132</v>
      </c>
      <c r="I859" t="s">
        <v>583</v>
      </c>
      <c r="J859">
        <v>4000</v>
      </c>
      <c r="K859">
        <v>2</v>
      </c>
      <c r="L859">
        <f>VLOOKUP(Merge1[[#This Row],[제품코드]],공정중_우선순위[[제품코드]:[우선순위]],4,0)</f>
        <v>9</v>
      </c>
      <c r="M859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860" spans="1:13" ht="54" x14ac:dyDescent="0.25">
      <c r="A860" t="s">
        <v>555</v>
      </c>
      <c r="B860" t="s">
        <v>603</v>
      </c>
      <c r="C860" t="s">
        <v>615</v>
      </c>
      <c r="D860" t="s">
        <v>167</v>
      </c>
      <c r="E860" t="s">
        <v>168</v>
      </c>
      <c r="F860" t="s">
        <v>651</v>
      </c>
      <c r="G860">
        <v>50</v>
      </c>
      <c r="H860" t="s">
        <v>132</v>
      </c>
      <c r="I860" t="s">
        <v>583</v>
      </c>
      <c r="J860">
        <v>4000</v>
      </c>
      <c r="K860">
        <v>2</v>
      </c>
      <c r="L860">
        <f>VLOOKUP(Merge1[[#This Row],[제품코드]],공정중_우선순위[[제품코드]:[우선순위]],4,0)</f>
        <v>9</v>
      </c>
      <c r="M860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861" spans="1:13" ht="54" x14ac:dyDescent="0.25">
      <c r="A861" t="s">
        <v>555</v>
      </c>
      <c r="B861" t="s">
        <v>603</v>
      </c>
      <c r="C861" t="s">
        <v>649</v>
      </c>
      <c r="D861" t="s">
        <v>167</v>
      </c>
      <c r="E861" t="s">
        <v>168</v>
      </c>
      <c r="F861" t="s">
        <v>650</v>
      </c>
      <c r="G861">
        <v>60</v>
      </c>
      <c r="H861" t="s">
        <v>130</v>
      </c>
      <c r="I861" t="s">
        <v>586</v>
      </c>
      <c r="J861">
        <v>4000</v>
      </c>
      <c r="K861">
        <v>7</v>
      </c>
      <c r="L861">
        <f>VLOOKUP(Merge1[[#This Row],[제품코드]],공정중_우선순위[[제품코드]:[우선순위]],4,0)</f>
        <v>9</v>
      </c>
      <c r="M861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862" spans="1:13" ht="54" x14ac:dyDescent="0.25">
      <c r="A862" t="s">
        <v>555</v>
      </c>
      <c r="B862" t="s">
        <v>603</v>
      </c>
      <c r="C862" t="s">
        <v>615</v>
      </c>
      <c r="D862" t="s">
        <v>167</v>
      </c>
      <c r="E862" t="s">
        <v>168</v>
      </c>
      <c r="F862" t="s">
        <v>651</v>
      </c>
      <c r="G862">
        <v>60</v>
      </c>
      <c r="H862" t="s">
        <v>130</v>
      </c>
      <c r="I862" t="s">
        <v>586</v>
      </c>
      <c r="J862">
        <v>4000</v>
      </c>
      <c r="K862">
        <v>7</v>
      </c>
      <c r="L862">
        <f>VLOOKUP(Merge1[[#This Row],[제품코드]],공정중_우선순위[[제품코드]:[우선순위]],4,0)</f>
        <v>9</v>
      </c>
      <c r="M862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863" spans="1:13" ht="54" x14ac:dyDescent="0.25">
      <c r="A863" t="s">
        <v>555</v>
      </c>
      <c r="B863" t="s">
        <v>603</v>
      </c>
      <c r="C863" t="s">
        <v>677</v>
      </c>
      <c r="D863" t="s">
        <v>173</v>
      </c>
      <c r="E863" t="s">
        <v>174</v>
      </c>
      <c r="F863" t="s">
        <v>678</v>
      </c>
      <c r="G863">
        <v>20</v>
      </c>
      <c r="H863" t="s">
        <v>126</v>
      </c>
      <c r="I863" t="s">
        <v>572</v>
      </c>
      <c r="J863">
        <v>5000</v>
      </c>
      <c r="K863">
        <v>3</v>
      </c>
      <c r="L863">
        <f>VLOOKUP(Merge1[[#This Row],[제품코드]],공정중_우선순위[[제품코드]:[우선순위]],4,0)</f>
        <v>10</v>
      </c>
      <c r="M863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864" spans="1:13" ht="54" x14ac:dyDescent="0.25">
      <c r="A864" t="s">
        <v>555</v>
      </c>
      <c r="B864" t="s">
        <v>603</v>
      </c>
      <c r="C864" t="s">
        <v>677</v>
      </c>
      <c r="D864" t="s">
        <v>173</v>
      </c>
      <c r="E864" t="s">
        <v>174</v>
      </c>
      <c r="F864" t="s">
        <v>678</v>
      </c>
      <c r="G864">
        <v>30</v>
      </c>
      <c r="H864" t="s">
        <v>127</v>
      </c>
      <c r="I864" t="s">
        <v>579</v>
      </c>
      <c r="J864">
        <v>5000</v>
      </c>
      <c r="K864">
        <v>9</v>
      </c>
      <c r="L864">
        <f>VLOOKUP(Merge1[[#This Row],[제품코드]],공정중_우선순위[[제품코드]:[우선순위]],4,0)</f>
        <v>10</v>
      </c>
      <c r="M864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865" spans="1:13" ht="54" x14ac:dyDescent="0.25">
      <c r="A865" t="s">
        <v>555</v>
      </c>
      <c r="B865" t="s">
        <v>603</v>
      </c>
      <c r="C865" t="s">
        <v>677</v>
      </c>
      <c r="D865" t="s">
        <v>173</v>
      </c>
      <c r="E865" t="s">
        <v>174</v>
      </c>
      <c r="F865" t="s">
        <v>678</v>
      </c>
      <c r="G865">
        <v>40</v>
      </c>
      <c r="H865" t="s">
        <v>129</v>
      </c>
      <c r="I865" t="s">
        <v>582</v>
      </c>
      <c r="J865">
        <v>5000</v>
      </c>
      <c r="K865">
        <v>7</v>
      </c>
      <c r="L865">
        <f>VLOOKUP(Merge1[[#This Row],[제품코드]],공정중_우선순위[[제품코드]:[우선순위]],4,0)</f>
        <v>10</v>
      </c>
      <c r="M865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866" spans="1:13" ht="54" x14ac:dyDescent="0.25">
      <c r="A866" t="s">
        <v>555</v>
      </c>
      <c r="B866" t="s">
        <v>603</v>
      </c>
      <c r="C866" t="s">
        <v>677</v>
      </c>
      <c r="D866" t="s">
        <v>173</v>
      </c>
      <c r="E866" t="s">
        <v>174</v>
      </c>
      <c r="F866" t="s">
        <v>678</v>
      </c>
      <c r="G866">
        <v>50</v>
      </c>
      <c r="H866" t="s">
        <v>132</v>
      </c>
      <c r="I866" t="s">
        <v>583</v>
      </c>
      <c r="J866">
        <v>5000</v>
      </c>
      <c r="K866">
        <v>2</v>
      </c>
      <c r="L866">
        <f>VLOOKUP(Merge1[[#This Row],[제품코드]],공정중_우선순위[[제품코드]:[우선순위]],4,0)</f>
        <v>10</v>
      </c>
      <c r="M866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867" spans="1:13" ht="54" x14ac:dyDescent="0.25">
      <c r="A867" t="s">
        <v>555</v>
      </c>
      <c r="B867" t="s">
        <v>603</v>
      </c>
      <c r="C867" t="s">
        <v>677</v>
      </c>
      <c r="D867" t="s">
        <v>173</v>
      </c>
      <c r="E867" t="s">
        <v>174</v>
      </c>
      <c r="F867" t="s">
        <v>678</v>
      </c>
      <c r="G867">
        <v>60</v>
      </c>
      <c r="H867" t="s">
        <v>130</v>
      </c>
      <c r="I867" t="s">
        <v>667</v>
      </c>
      <c r="J867">
        <v>5000</v>
      </c>
      <c r="K867">
        <v>7</v>
      </c>
      <c r="L867">
        <f>VLOOKUP(Merge1[[#This Row],[제품코드]],공정중_우선순위[[제품코드]:[우선순위]],4,0)</f>
        <v>10</v>
      </c>
      <c r="M867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868" spans="1:13" ht="54" x14ac:dyDescent="0.25">
      <c r="A868" t="s">
        <v>555</v>
      </c>
      <c r="B868" t="s">
        <v>603</v>
      </c>
      <c r="C868" t="s">
        <v>604</v>
      </c>
      <c r="D868" t="s">
        <v>152</v>
      </c>
      <c r="E868" t="s">
        <v>153</v>
      </c>
      <c r="F868" t="s">
        <v>605</v>
      </c>
      <c r="G868">
        <v>50</v>
      </c>
      <c r="H868" t="s">
        <v>132</v>
      </c>
      <c r="I868" t="s">
        <v>583</v>
      </c>
      <c r="J868">
        <v>8000</v>
      </c>
      <c r="K868">
        <v>2</v>
      </c>
      <c r="L868">
        <f>VLOOKUP(Merge1[[#This Row],[제품코드]],공정중_우선순위[[제품코드]:[우선순위]],4,0)</f>
        <v>11</v>
      </c>
      <c r="M868" s="10" t="str">
        <f>_xlfn.TEXTJOIN(CHAR(10), TRUE, ,Merge1[[#This Row],[제품명]],Merge1[[#This Row],[오더번호]],Merge1[[#This Row],[제조번호]],Merge1[[#This Row],[지시수량]])</f>
        <v>아이델라주25MG 10A
1015474
A002919
8000</v>
      </c>
    </row>
    <row r="869" spans="1:13" ht="54" x14ac:dyDescent="0.25">
      <c r="A869" t="s">
        <v>555</v>
      </c>
      <c r="B869" t="s">
        <v>603</v>
      </c>
      <c r="C869" t="s">
        <v>604</v>
      </c>
      <c r="D869" t="s">
        <v>152</v>
      </c>
      <c r="E869" t="s">
        <v>153</v>
      </c>
      <c r="F869" t="s">
        <v>605</v>
      </c>
      <c r="G869">
        <v>60</v>
      </c>
      <c r="H869" t="s">
        <v>130</v>
      </c>
      <c r="I869" t="s">
        <v>586</v>
      </c>
      <c r="J869">
        <v>8000</v>
      </c>
      <c r="K869">
        <v>11</v>
      </c>
      <c r="L869">
        <f>VLOOKUP(Merge1[[#This Row],[제품코드]],공정중_우선순위[[제품코드]:[우선순위]],4,0)</f>
        <v>11</v>
      </c>
      <c r="M869" s="10" t="str">
        <f>_xlfn.TEXTJOIN(CHAR(10), TRUE, ,Merge1[[#This Row],[제품명]],Merge1[[#This Row],[오더번호]],Merge1[[#This Row],[제조번호]],Merge1[[#This Row],[지시수량]])</f>
        <v>아이델라주25MG 10A
1015474
A002919
8000</v>
      </c>
    </row>
    <row r="870" spans="1:13" ht="54" x14ac:dyDescent="0.25">
      <c r="A870" t="s">
        <v>555</v>
      </c>
      <c r="B870" t="s">
        <v>652</v>
      </c>
      <c r="C870" t="s">
        <v>653</v>
      </c>
      <c r="D870" t="s">
        <v>169</v>
      </c>
      <c r="E870" t="s">
        <v>170</v>
      </c>
      <c r="F870" t="s">
        <v>654</v>
      </c>
      <c r="G870">
        <v>20</v>
      </c>
      <c r="H870" t="s">
        <v>126</v>
      </c>
      <c r="I870" t="s">
        <v>638</v>
      </c>
      <c r="J870">
        <v>6000</v>
      </c>
      <c r="K870">
        <v>4</v>
      </c>
      <c r="L870">
        <f>VLOOKUP(Merge1[[#This Row],[제품코드]],공정중_우선순위[[제품코드]:[우선순위]],4,0)</f>
        <v>12</v>
      </c>
      <c r="M870" s="10" t="str">
        <f>_xlfn.TEXTJOIN(CHAR(10), TRUE, ,Merge1[[#This Row],[제품명]],Merge1[[#This Row],[오더번호]],Merge1[[#This Row],[제조번호]],Merge1[[#This Row],[지시수량]])</f>
        <v>뮤테란주600MG 10A (한화제약)
1015501
25072
6000</v>
      </c>
    </row>
    <row r="871" spans="1:13" ht="54" x14ac:dyDescent="0.25">
      <c r="A871" t="s">
        <v>555</v>
      </c>
      <c r="B871" t="s">
        <v>652</v>
      </c>
      <c r="C871" t="s">
        <v>655</v>
      </c>
      <c r="D871" t="s">
        <v>169</v>
      </c>
      <c r="E871" t="s">
        <v>170</v>
      </c>
      <c r="F871" t="s">
        <v>656</v>
      </c>
      <c r="G871">
        <v>20</v>
      </c>
      <c r="H871" t="s">
        <v>126</v>
      </c>
      <c r="I871" t="s">
        <v>638</v>
      </c>
      <c r="J871">
        <v>6000</v>
      </c>
      <c r="K871">
        <v>4</v>
      </c>
      <c r="L871">
        <f>VLOOKUP(Merge1[[#This Row],[제품코드]],공정중_우선순위[[제품코드]:[우선순위]],4,0)</f>
        <v>12</v>
      </c>
      <c r="M871" s="10" t="str">
        <f>_xlfn.TEXTJOIN(CHAR(10), TRUE, ,Merge1[[#This Row],[제품명]],Merge1[[#This Row],[오더번호]],Merge1[[#This Row],[제조번호]],Merge1[[#This Row],[지시수량]])</f>
        <v>뮤테란주600MG 10A (한화제약)
1015502
25073
6000</v>
      </c>
    </row>
    <row r="872" spans="1:13" ht="54" x14ac:dyDescent="0.25">
      <c r="A872" t="s">
        <v>555</v>
      </c>
      <c r="B872" t="s">
        <v>652</v>
      </c>
      <c r="C872" t="s">
        <v>657</v>
      </c>
      <c r="D872" t="s">
        <v>169</v>
      </c>
      <c r="E872" t="s">
        <v>170</v>
      </c>
      <c r="F872" t="s">
        <v>658</v>
      </c>
      <c r="G872">
        <v>20</v>
      </c>
      <c r="H872" t="s">
        <v>126</v>
      </c>
      <c r="I872" t="s">
        <v>638</v>
      </c>
      <c r="J872">
        <v>6000</v>
      </c>
      <c r="K872">
        <v>4</v>
      </c>
      <c r="L872">
        <f>VLOOKUP(Merge1[[#This Row],[제품코드]],공정중_우선순위[[제품코드]:[우선순위]],4,0)</f>
        <v>12</v>
      </c>
      <c r="M872" s="10" t="str">
        <f>_xlfn.TEXTJOIN(CHAR(10), TRUE, ,Merge1[[#This Row],[제품명]],Merge1[[#This Row],[오더번호]],Merge1[[#This Row],[제조번호]],Merge1[[#This Row],[지시수량]])</f>
        <v>뮤테란주600MG 10A (한화제약)
1015503
25074
6000</v>
      </c>
    </row>
    <row r="873" spans="1:13" ht="54" x14ac:dyDescent="0.25">
      <c r="A873" t="s">
        <v>555</v>
      </c>
      <c r="B873" t="s">
        <v>652</v>
      </c>
      <c r="C873" t="s">
        <v>659</v>
      </c>
      <c r="D873" t="s">
        <v>169</v>
      </c>
      <c r="E873" t="s">
        <v>170</v>
      </c>
      <c r="F873" t="s">
        <v>660</v>
      </c>
      <c r="G873">
        <v>20</v>
      </c>
      <c r="H873" t="s">
        <v>126</v>
      </c>
      <c r="I873" t="s">
        <v>638</v>
      </c>
      <c r="J873">
        <v>6000</v>
      </c>
      <c r="K873">
        <v>4</v>
      </c>
      <c r="L873">
        <f>VLOOKUP(Merge1[[#This Row],[제품코드]],공정중_우선순위[[제품코드]:[우선순위]],4,0)</f>
        <v>12</v>
      </c>
      <c r="M873" s="10" t="str">
        <f>_xlfn.TEXTJOIN(CHAR(10), TRUE, ,Merge1[[#This Row],[제품명]],Merge1[[#This Row],[오더번호]],Merge1[[#This Row],[제조번호]],Merge1[[#This Row],[지시수량]])</f>
        <v>뮤테란주600MG 10A (한화제약)
1015504
25075
6000</v>
      </c>
    </row>
    <row r="874" spans="1:13" ht="54" x14ac:dyDescent="0.25">
      <c r="A874" t="s">
        <v>555</v>
      </c>
      <c r="B874" t="s">
        <v>652</v>
      </c>
      <c r="C874" t="s">
        <v>661</v>
      </c>
      <c r="D874" t="s">
        <v>169</v>
      </c>
      <c r="E874" t="s">
        <v>170</v>
      </c>
      <c r="F874" t="s">
        <v>662</v>
      </c>
      <c r="G874">
        <v>20</v>
      </c>
      <c r="H874" t="s">
        <v>126</v>
      </c>
      <c r="I874" t="s">
        <v>638</v>
      </c>
      <c r="J874">
        <v>6000</v>
      </c>
      <c r="K874">
        <v>4</v>
      </c>
      <c r="L874">
        <f>VLOOKUP(Merge1[[#This Row],[제품코드]],공정중_우선순위[[제품코드]:[우선순위]],4,0)</f>
        <v>12</v>
      </c>
      <c r="M874" s="10" t="str">
        <f>_xlfn.TEXTJOIN(CHAR(10), TRUE, ,Merge1[[#This Row],[제품명]],Merge1[[#This Row],[오더번호]],Merge1[[#This Row],[제조번호]],Merge1[[#This Row],[지시수량]])</f>
        <v>뮤테란주600MG 10A (한화제약)
1015505
25076
6000</v>
      </c>
    </row>
    <row r="875" spans="1:13" ht="54" x14ac:dyDescent="0.25">
      <c r="A875" t="s">
        <v>555</v>
      </c>
      <c r="B875" t="s">
        <v>652</v>
      </c>
      <c r="C875" t="s">
        <v>663</v>
      </c>
      <c r="D875" t="s">
        <v>169</v>
      </c>
      <c r="E875" t="s">
        <v>170</v>
      </c>
      <c r="F875" t="s">
        <v>664</v>
      </c>
      <c r="G875">
        <v>20</v>
      </c>
      <c r="H875" t="s">
        <v>126</v>
      </c>
      <c r="I875" t="s">
        <v>638</v>
      </c>
      <c r="J875">
        <v>6000</v>
      </c>
      <c r="K875">
        <v>4</v>
      </c>
      <c r="L875">
        <f>VLOOKUP(Merge1[[#This Row],[제품코드]],공정중_우선순위[[제품코드]:[우선순위]],4,0)</f>
        <v>12</v>
      </c>
      <c r="M875" s="10" t="str">
        <f>_xlfn.TEXTJOIN(CHAR(10), TRUE, ,Merge1[[#This Row],[제품명]],Merge1[[#This Row],[오더번호]],Merge1[[#This Row],[제조번호]],Merge1[[#This Row],[지시수량]])</f>
        <v>뮤테란주600MG 10A (한화제약)
1015506
25077
6000</v>
      </c>
    </row>
    <row r="876" spans="1:13" ht="54" x14ac:dyDescent="0.25">
      <c r="A876" t="s">
        <v>555</v>
      </c>
      <c r="B876" t="s">
        <v>652</v>
      </c>
      <c r="C876" t="s">
        <v>665</v>
      </c>
      <c r="D876" t="s">
        <v>169</v>
      </c>
      <c r="E876" t="s">
        <v>170</v>
      </c>
      <c r="F876" t="s">
        <v>666</v>
      </c>
      <c r="G876">
        <v>20</v>
      </c>
      <c r="H876" t="s">
        <v>126</v>
      </c>
      <c r="I876" t="s">
        <v>638</v>
      </c>
      <c r="J876">
        <v>6000</v>
      </c>
      <c r="K876">
        <v>4</v>
      </c>
      <c r="L876">
        <f>VLOOKUP(Merge1[[#This Row],[제품코드]],공정중_우선순위[[제품코드]:[우선순위]],4,0)</f>
        <v>12</v>
      </c>
      <c r="M876" s="10" t="str">
        <f>_xlfn.TEXTJOIN(CHAR(10), TRUE, ,Merge1[[#This Row],[제품명]],Merge1[[#This Row],[오더번호]],Merge1[[#This Row],[제조번호]],Merge1[[#This Row],[지시수량]])</f>
        <v>뮤테란주600MG 10A (한화제약)
1015507
25078
6000</v>
      </c>
    </row>
    <row r="877" spans="1:13" ht="54" x14ac:dyDescent="0.25">
      <c r="A877" t="s">
        <v>555</v>
      </c>
      <c r="B877" t="s">
        <v>652</v>
      </c>
      <c r="C877" t="s">
        <v>653</v>
      </c>
      <c r="D877" t="s">
        <v>169</v>
      </c>
      <c r="E877" t="s">
        <v>170</v>
      </c>
      <c r="F877" t="s">
        <v>654</v>
      </c>
      <c r="G877">
        <v>30</v>
      </c>
      <c r="H877" t="s">
        <v>127</v>
      </c>
      <c r="I877" t="s">
        <v>643</v>
      </c>
      <c r="J877">
        <v>6000</v>
      </c>
      <c r="K877">
        <v>12</v>
      </c>
      <c r="L877">
        <f>VLOOKUP(Merge1[[#This Row],[제품코드]],공정중_우선순위[[제품코드]:[우선순위]],4,0)</f>
        <v>12</v>
      </c>
      <c r="M877" s="10" t="str">
        <f>_xlfn.TEXTJOIN(CHAR(10), TRUE, ,Merge1[[#This Row],[제품명]],Merge1[[#This Row],[오더번호]],Merge1[[#This Row],[제조번호]],Merge1[[#This Row],[지시수량]])</f>
        <v>뮤테란주600MG 10A (한화제약)
1015501
25072
6000</v>
      </c>
    </row>
    <row r="878" spans="1:13" ht="54" x14ac:dyDescent="0.25">
      <c r="A878" t="s">
        <v>555</v>
      </c>
      <c r="B878" t="s">
        <v>652</v>
      </c>
      <c r="C878" t="s">
        <v>655</v>
      </c>
      <c r="D878" t="s">
        <v>169</v>
      </c>
      <c r="E878" t="s">
        <v>170</v>
      </c>
      <c r="F878" t="s">
        <v>656</v>
      </c>
      <c r="G878">
        <v>30</v>
      </c>
      <c r="H878" t="s">
        <v>127</v>
      </c>
      <c r="I878" t="s">
        <v>643</v>
      </c>
      <c r="J878">
        <v>6000</v>
      </c>
      <c r="K878">
        <v>12</v>
      </c>
      <c r="L878">
        <f>VLOOKUP(Merge1[[#This Row],[제품코드]],공정중_우선순위[[제품코드]:[우선순위]],4,0)</f>
        <v>12</v>
      </c>
      <c r="M878" s="10" t="str">
        <f>_xlfn.TEXTJOIN(CHAR(10), TRUE, ,Merge1[[#This Row],[제품명]],Merge1[[#This Row],[오더번호]],Merge1[[#This Row],[제조번호]],Merge1[[#This Row],[지시수량]])</f>
        <v>뮤테란주600MG 10A (한화제약)
1015502
25073
6000</v>
      </c>
    </row>
    <row r="879" spans="1:13" ht="54" x14ac:dyDescent="0.25">
      <c r="A879" t="s">
        <v>555</v>
      </c>
      <c r="B879" t="s">
        <v>652</v>
      </c>
      <c r="C879" t="s">
        <v>657</v>
      </c>
      <c r="D879" t="s">
        <v>169</v>
      </c>
      <c r="E879" t="s">
        <v>170</v>
      </c>
      <c r="F879" t="s">
        <v>658</v>
      </c>
      <c r="G879">
        <v>30</v>
      </c>
      <c r="H879" t="s">
        <v>127</v>
      </c>
      <c r="I879" t="s">
        <v>643</v>
      </c>
      <c r="J879">
        <v>6000</v>
      </c>
      <c r="K879">
        <v>12</v>
      </c>
      <c r="L879">
        <f>VLOOKUP(Merge1[[#This Row],[제품코드]],공정중_우선순위[[제품코드]:[우선순위]],4,0)</f>
        <v>12</v>
      </c>
      <c r="M879" s="10" t="str">
        <f>_xlfn.TEXTJOIN(CHAR(10), TRUE, ,Merge1[[#This Row],[제품명]],Merge1[[#This Row],[오더번호]],Merge1[[#This Row],[제조번호]],Merge1[[#This Row],[지시수량]])</f>
        <v>뮤테란주600MG 10A (한화제약)
1015503
25074
6000</v>
      </c>
    </row>
    <row r="880" spans="1:13" ht="54" x14ac:dyDescent="0.25">
      <c r="A880" t="s">
        <v>555</v>
      </c>
      <c r="B880" t="s">
        <v>652</v>
      </c>
      <c r="C880" t="s">
        <v>659</v>
      </c>
      <c r="D880" t="s">
        <v>169</v>
      </c>
      <c r="E880" t="s">
        <v>170</v>
      </c>
      <c r="F880" t="s">
        <v>660</v>
      </c>
      <c r="G880">
        <v>30</v>
      </c>
      <c r="H880" t="s">
        <v>127</v>
      </c>
      <c r="I880" t="s">
        <v>643</v>
      </c>
      <c r="J880">
        <v>6000</v>
      </c>
      <c r="K880">
        <v>12</v>
      </c>
      <c r="L880">
        <f>VLOOKUP(Merge1[[#This Row],[제품코드]],공정중_우선순위[[제품코드]:[우선순위]],4,0)</f>
        <v>12</v>
      </c>
      <c r="M880" s="10" t="str">
        <f>_xlfn.TEXTJOIN(CHAR(10), TRUE, ,Merge1[[#This Row],[제품명]],Merge1[[#This Row],[오더번호]],Merge1[[#This Row],[제조번호]],Merge1[[#This Row],[지시수량]])</f>
        <v>뮤테란주600MG 10A (한화제약)
1015504
25075
6000</v>
      </c>
    </row>
    <row r="881" spans="1:13" ht="54" x14ac:dyDescent="0.25">
      <c r="A881" t="s">
        <v>555</v>
      </c>
      <c r="B881" t="s">
        <v>652</v>
      </c>
      <c r="C881" t="s">
        <v>661</v>
      </c>
      <c r="D881" t="s">
        <v>169</v>
      </c>
      <c r="E881" t="s">
        <v>170</v>
      </c>
      <c r="F881" t="s">
        <v>662</v>
      </c>
      <c r="G881">
        <v>30</v>
      </c>
      <c r="H881" t="s">
        <v>127</v>
      </c>
      <c r="I881" t="s">
        <v>643</v>
      </c>
      <c r="J881">
        <v>6000</v>
      </c>
      <c r="K881">
        <v>12</v>
      </c>
      <c r="L881">
        <f>VLOOKUP(Merge1[[#This Row],[제품코드]],공정중_우선순위[[제품코드]:[우선순위]],4,0)</f>
        <v>12</v>
      </c>
      <c r="M881" s="10" t="str">
        <f>_xlfn.TEXTJOIN(CHAR(10), TRUE, ,Merge1[[#This Row],[제품명]],Merge1[[#This Row],[오더번호]],Merge1[[#This Row],[제조번호]],Merge1[[#This Row],[지시수량]])</f>
        <v>뮤테란주600MG 10A (한화제약)
1015505
25076
6000</v>
      </c>
    </row>
    <row r="882" spans="1:13" ht="54" x14ac:dyDescent="0.25">
      <c r="A882" t="s">
        <v>555</v>
      </c>
      <c r="B882" t="s">
        <v>652</v>
      </c>
      <c r="C882" t="s">
        <v>663</v>
      </c>
      <c r="D882" t="s">
        <v>169</v>
      </c>
      <c r="E882" t="s">
        <v>170</v>
      </c>
      <c r="F882" t="s">
        <v>664</v>
      </c>
      <c r="G882">
        <v>30</v>
      </c>
      <c r="H882" t="s">
        <v>127</v>
      </c>
      <c r="I882" t="s">
        <v>643</v>
      </c>
      <c r="J882">
        <v>6000</v>
      </c>
      <c r="K882">
        <v>12</v>
      </c>
      <c r="L882">
        <f>VLOOKUP(Merge1[[#This Row],[제품코드]],공정중_우선순위[[제품코드]:[우선순위]],4,0)</f>
        <v>12</v>
      </c>
      <c r="M882" s="10" t="str">
        <f>_xlfn.TEXTJOIN(CHAR(10), TRUE, ,Merge1[[#This Row],[제품명]],Merge1[[#This Row],[오더번호]],Merge1[[#This Row],[제조번호]],Merge1[[#This Row],[지시수량]])</f>
        <v>뮤테란주600MG 10A (한화제약)
1015506
25077
6000</v>
      </c>
    </row>
    <row r="883" spans="1:13" ht="54" x14ac:dyDescent="0.25">
      <c r="A883" t="s">
        <v>555</v>
      </c>
      <c r="B883" t="s">
        <v>652</v>
      </c>
      <c r="C883" t="s">
        <v>665</v>
      </c>
      <c r="D883" t="s">
        <v>169</v>
      </c>
      <c r="E883" t="s">
        <v>170</v>
      </c>
      <c r="F883" t="s">
        <v>666</v>
      </c>
      <c r="G883">
        <v>30</v>
      </c>
      <c r="H883" t="s">
        <v>127</v>
      </c>
      <c r="I883" t="s">
        <v>643</v>
      </c>
      <c r="J883">
        <v>6000</v>
      </c>
      <c r="K883">
        <v>12</v>
      </c>
      <c r="L883">
        <f>VLOOKUP(Merge1[[#This Row],[제품코드]],공정중_우선순위[[제품코드]:[우선순위]],4,0)</f>
        <v>12</v>
      </c>
      <c r="M883" s="10" t="str">
        <f>_xlfn.TEXTJOIN(CHAR(10), TRUE, ,Merge1[[#This Row],[제품명]],Merge1[[#This Row],[오더번호]],Merge1[[#This Row],[제조번호]],Merge1[[#This Row],[지시수량]])</f>
        <v>뮤테란주600MG 10A (한화제약)
1015507
25078
6000</v>
      </c>
    </row>
    <row r="884" spans="1:13" ht="54" x14ac:dyDescent="0.25">
      <c r="A884" t="s">
        <v>555</v>
      </c>
      <c r="B884" t="s">
        <v>652</v>
      </c>
      <c r="C884" t="s">
        <v>653</v>
      </c>
      <c r="D884" t="s">
        <v>169</v>
      </c>
      <c r="E884" t="s">
        <v>170</v>
      </c>
      <c r="F884" t="s">
        <v>654</v>
      </c>
      <c r="G884">
        <v>40</v>
      </c>
      <c r="H884" t="s">
        <v>129</v>
      </c>
      <c r="I884" t="s">
        <v>644</v>
      </c>
      <c r="J884">
        <v>6000</v>
      </c>
      <c r="K884">
        <v>14</v>
      </c>
      <c r="L884">
        <f>VLOOKUP(Merge1[[#This Row],[제품코드]],공정중_우선순위[[제품코드]:[우선순위]],4,0)</f>
        <v>12</v>
      </c>
      <c r="M884" s="10" t="str">
        <f>_xlfn.TEXTJOIN(CHAR(10), TRUE, ,Merge1[[#This Row],[제품명]],Merge1[[#This Row],[오더번호]],Merge1[[#This Row],[제조번호]],Merge1[[#This Row],[지시수량]])</f>
        <v>뮤테란주600MG 10A (한화제약)
1015501
25072
6000</v>
      </c>
    </row>
    <row r="885" spans="1:13" ht="54" x14ac:dyDescent="0.25">
      <c r="A885" t="s">
        <v>555</v>
      </c>
      <c r="B885" t="s">
        <v>652</v>
      </c>
      <c r="C885" t="s">
        <v>655</v>
      </c>
      <c r="D885" t="s">
        <v>169</v>
      </c>
      <c r="E885" t="s">
        <v>170</v>
      </c>
      <c r="F885" t="s">
        <v>656</v>
      </c>
      <c r="G885">
        <v>40</v>
      </c>
      <c r="H885" t="s">
        <v>129</v>
      </c>
      <c r="I885" t="s">
        <v>644</v>
      </c>
      <c r="J885">
        <v>6000</v>
      </c>
      <c r="K885">
        <v>14</v>
      </c>
      <c r="L885">
        <f>VLOOKUP(Merge1[[#This Row],[제품코드]],공정중_우선순위[[제품코드]:[우선순위]],4,0)</f>
        <v>12</v>
      </c>
      <c r="M885" s="10" t="str">
        <f>_xlfn.TEXTJOIN(CHAR(10), TRUE, ,Merge1[[#This Row],[제품명]],Merge1[[#This Row],[오더번호]],Merge1[[#This Row],[제조번호]],Merge1[[#This Row],[지시수량]])</f>
        <v>뮤테란주600MG 10A (한화제약)
1015502
25073
6000</v>
      </c>
    </row>
    <row r="886" spans="1:13" ht="54" x14ac:dyDescent="0.25">
      <c r="A886" t="s">
        <v>555</v>
      </c>
      <c r="B886" t="s">
        <v>652</v>
      </c>
      <c r="C886" t="s">
        <v>657</v>
      </c>
      <c r="D886" t="s">
        <v>169</v>
      </c>
      <c r="E886" t="s">
        <v>170</v>
      </c>
      <c r="F886" t="s">
        <v>658</v>
      </c>
      <c r="G886">
        <v>40</v>
      </c>
      <c r="H886" t="s">
        <v>129</v>
      </c>
      <c r="I886" t="s">
        <v>644</v>
      </c>
      <c r="J886">
        <v>6000</v>
      </c>
      <c r="K886">
        <v>14</v>
      </c>
      <c r="L886">
        <f>VLOOKUP(Merge1[[#This Row],[제품코드]],공정중_우선순위[[제품코드]:[우선순위]],4,0)</f>
        <v>12</v>
      </c>
      <c r="M886" s="10" t="str">
        <f>_xlfn.TEXTJOIN(CHAR(10), TRUE, ,Merge1[[#This Row],[제품명]],Merge1[[#This Row],[오더번호]],Merge1[[#This Row],[제조번호]],Merge1[[#This Row],[지시수량]])</f>
        <v>뮤테란주600MG 10A (한화제약)
1015503
25074
6000</v>
      </c>
    </row>
    <row r="887" spans="1:13" ht="54" x14ac:dyDescent="0.25">
      <c r="A887" t="s">
        <v>555</v>
      </c>
      <c r="B887" t="s">
        <v>652</v>
      </c>
      <c r="C887" t="s">
        <v>659</v>
      </c>
      <c r="D887" t="s">
        <v>169</v>
      </c>
      <c r="E887" t="s">
        <v>170</v>
      </c>
      <c r="F887" t="s">
        <v>660</v>
      </c>
      <c r="G887">
        <v>40</v>
      </c>
      <c r="H887" t="s">
        <v>129</v>
      </c>
      <c r="I887" t="s">
        <v>644</v>
      </c>
      <c r="J887">
        <v>6000</v>
      </c>
      <c r="K887">
        <v>14</v>
      </c>
      <c r="L887">
        <f>VLOOKUP(Merge1[[#This Row],[제품코드]],공정중_우선순위[[제품코드]:[우선순위]],4,0)</f>
        <v>12</v>
      </c>
      <c r="M887" s="10" t="str">
        <f>_xlfn.TEXTJOIN(CHAR(10), TRUE, ,Merge1[[#This Row],[제품명]],Merge1[[#This Row],[오더번호]],Merge1[[#This Row],[제조번호]],Merge1[[#This Row],[지시수량]])</f>
        <v>뮤테란주600MG 10A (한화제약)
1015504
25075
6000</v>
      </c>
    </row>
    <row r="888" spans="1:13" ht="54" x14ac:dyDescent="0.25">
      <c r="A888" t="s">
        <v>555</v>
      </c>
      <c r="B888" t="s">
        <v>652</v>
      </c>
      <c r="C888" t="s">
        <v>661</v>
      </c>
      <c r="D888" t="s">
        <v>169</v>
      </c>
      <c r="E888" t="s">
        <v>170</v>
      </c>
      <c r="F888" t="s">
        <v>662</v>
      </c>
      <c r="G888">
        <v>40</v>
      </c>
      <c r="H888" t="s">
        <v>129</v>
      </c>
      <c r="I888" t="s">
        <v>644</v>
      </c>
      <c r="J888">
        <v>6000</v>
      </c>
      <c r="K888">
        <v>14</v>
      </c>
      <c r="L888">
        <f>VLOOKUP(Merge1[[#This Row],[제품코드]],공정중_우선순위[[제품코드]:[우선순위]],4,0)</f>
        <v>12</v>
      </c>
      <c r="M888" s="10" t="str">
        <f>_xlfn.TEXTJOIN(CHAR(10), TRUE, ,Merge1[[#This Row],[제품명]],Merge1[[#This Row],[오더번호]],Merge1[[#This Row],[제조번호]],Merge1[[#This Row],[지시수량]])</f>
        <v>뮤테란주600MG 10A (한화제약)
1015505
25076
6000</v>
      </c>
    </row>
    <row r="889" spans="1:13" ht="54" x14ac:dyDescent="0.25">
      <c r="A889" t="s">
        <v>555</v>
      </c>
      <c r="B889" t="s">
        <v>652</v>
      </c>
      <c r="C889" t="s">
        <v>663</v>
      </c>
      <c r="D889" t="s">
        <v>169</v>
      </c>
      <c r="E889" t="s">
        <v>170</v>
      </c>
      <c r="F889" t="s">
        <v>664</v>
      </c>
      <c r="G889">
        <v>40</v>
      </c>
      <c r="H889" t="s">
        <v>129</v>
      </c>
      <c r="I889" t="s">
        <v>644</v>
      </c>
      <c r="J889">
        <v>6000</v>
      </c>
      <c r="K889">
        <v>14</v>
      </c>
      <c r="L889">
        <f>VLOOKUP(Merge1[[#This Row],[제품코드]],공정중_우선순위[[제품코드]:[우선순위]],4,0)</f>
        <v>12</v>
      </c>
      <c r="M889" s="10" t="str">
        <f>_xlfn.TEXTJOIN(CHAR(10), TRUE, ,Merge1[[#This Row],[제품명]],Merge1[[#This Row],[오더번호]],Merge1[[#This Row],[제조번호]],Merge1[[#This Row],[지시수량]])</f>
        <v>뮤테란주600MG 10A (한화제약)
1015506
25077
6000</v>
      </c>
    </row>
    <row r="890" spans="1:13" ht="54" x14ac:dyDescent="0.25">
      <c r="A890" t="s">
        <v>555</v>
      </c>
      <c r="B890" t="s">
        <v>652</v>
      </c>
      <c r="C890" t="s">
        <v>665</v>
      </c>
      <c r="D890" t="s">
        <v>169</v>
      </c>
      <c r="E890" t="s">
        <v>170</v>
      </c>
      <c r="F890" t="s">
        <v>666</v>
      </c>
      <c r="G890">
        <v>40</v>
      </c>
      <c r="H890" t="s">
        <v>129</v>
      </c>
      <c r="I890" t="s">
        <v>644</v>
      </c>
      <c r="J890">
        <v>6000</v>
      </c>
      <c r="K890">
        <v>14</v>
      </c>
      <c r="L890">
        <f>VLOOKUP(Merge1[[#This Row],[제품코드]],공정중_우선순위[[제품코드]:[우선순위]],4,0)</f>
        <v>12</v>
      </c>
      <c r="M890" s="10" t="str">
        <f>_xlfn.TEXTJOIN(CHAR(10), TRUE, ,Merge1[[#This Row],[제품명]],Merge1[[#This Row],[오더번호]],Merge1[[#This Row],[제조번호]],Merge1[[#This Row],[지시수량]])</f>
        <v>뮤테란주600MG 10A (한화제약)
1015507
25078
6000</v>
      </c>
    </row>
    <row r="891" spans="1:13" ht="54" x14ac:dyDescent="0.25">
      <c r="A891" t="s">
        <v>555</v>
      </c>
      <c r="B891" t="s">
        <v>652</v>
      </c>
      <c r="C891" t="s">
        <v>653</v>
      </c>
      <c r="D891" t="s">
        <v>169</v>
      </c>
      <c r="E891" t="s">
        <v>170</v>
      </c>
      <c r="F891" t="s">
        <v>654</v>
      </c>
      <c r="G891">
        <v>60</v>
      </c>
      <c r="H891" t="s">
        <v>130</v>
      </c>
      <c r="I891" t="s">
        <v>667</v>
      </c>
      <c r="J891">
        <v>6000</v>
      </c>
      <c r="K891">
        <v>11</v>
      </c>
      <c r="L891">
        <f>VLOOKUP(Merge1[[#This Row],[제품코드]],공정중_우선순위[[제품코드]:[우선순위]],4,0)</f>
        <v>12</v>
      </c>
      <c r="M891" s="10" t="str">
        <f>_xlfn.TEXTJOIN(CHAR(10), TRUE, ,Merge1[[#This Row],[제품명]],Merge1[[#This Row],[오더번호]],Merge1[[#This Row],[제조번호]],Merge1[[#This Row],[지시수량]])</f>
        <v>뮤테란주600MG 10A (한화제약)
1015501
25072
6000</v>
      </c>
    </row>
    <row r="892" spans="1:13" ht="54" x14ac:dyDescent="0.25">
      <c r="A892" t="s">
        <v>555</v>
      </c>
      <c r="B892" t="s">
        <v>652</v>
      </c>
      <c r="C892" t="s">
        <v>655</v>
      </c>
      <c r="D892" t="s">
        <v>169</v>
      </c>
      <c r="E892" t="s">
        <v>170</v>
      </c>
      <c r="F892" t="s">
        <v>656</v>
      </c>
      <c r="G892">
        <v>60</v>
      </c>
      <c r="H892" t="s">
        <v>130</v>
      </c>
      <c r="I892" t="s">
        <v>667</v>
      </c>
      <c r="J892">
        <v>6000</v>
      </c>
      <c r="K892">
        <v>11</v>
      </c>
      <c r="L892">
        <f>VLOOKUP(Merge1[[#This Row],[제품코드]],공정중_우선순위[[제품코드]:[우선순위]],4,0)</f>
        <v>12</v>
      </c>
      <c r="M892" s="10" t="str">
        <f>_xlfn.TEXTJOIN(CHAR(10), TRUE, ,Merge1[[#This Row],[제품명]],Merge1[[#This Row],[오더번호]],Merge1[[#This Row],[제조번호]],Merge1[[#This Row],[지시수량]])</f>
        <v>뮤테란주600MG 10A (한화제약)
1015502
25073
6000</v>
      </c>
    </row>
    <row r="893" spans="1:13" ht="54" x14ac:dyDescent="0.25">
      <c r="A893" t="s">
        <v>555</v>
      </c>
      <c r="B893" t="s">
        <v>652</v>
      </c>
      <c r="C893" t="s">
        <v>657</v>
      </c>
      <c r="D893" t="s">
        <v>169</v>
      </c>
      <c r="E893" t="s">
        <v>170</v>
      </c>
      <c r="F893" t="s">
        <v>658</v>
      </c>
      <c r="G893">
        <v>60</v>
      </c>
      <c r="H893" t="s">
        <v>130</v>
      </c>
      <c r="I893" t="s">
        <v>667</v>
      </c>
      <c r="J893">
        <v>6000</v>
      </c>
      <c r="K893">
        <v>11</v>
      </c>
      <c r="L893">
        <f>VLOOKUP(Merge1[[#This Row],[제품코드]],공정중_우선순위[[제품코드]:[우선순위]],4,0)</f>
        <v>12</v>
      </c>
      <c r="M893" s="10" t="str">
        <f>_xlfn.TEXTJOIN(CHAR(10), TRUE, ,Merge1[[#This Row],[제품명]],Merge1[[#This Row],[오더번호]],Merge1[[#This Row],[제조번호]],Merge1[[#This Row],[지시수량]])</f>
        <v>뮤테란주600MG 10A (한화제약)
1015503
25074
6000</v>
      </c>
    </row>
    <row r="894" spans="1:13" ht="54" x14ac:dyDescent="0.25">
      <c r="A894" t="s">
        <v>555</v>
      </c>
      <c r="B894" t="s">
        <v>652</v>
      </c>
      <c r="C894" t="s">
        <v>659</v>
      </c>
      <c r="D894" t="s">
        <v>169</v>
      </c>
      <c r="E894" t="s">
        <v>170</v>
      </c>
      <c r="F894" t="s">
        <v>660</v>
      </c>
      <c r="G894">
        <v>60</v>
      </c>
      <c r="H894" t="s">
        <v>130</v>
      </c>
      <c r="I894" t="s">
        <v>667</v>
      </c>
      <c r="J894">
        <v>6000</v>
      </c>
      <c r="K894">
        <v>11</v>
      </c>
      <c r="L894">
        <f>VLOOKUP(Merge1[[#This Row],[제품코드]],공정중_우선순위[[제품코드]:[우선순위]],4,0)</f>
        <v>12</v>
      </c>
      <c r="M894" s="10" t="str">
        <f>_xlfn.TEXTJOIN(CHAR(10), TRUE, ,Merge1[[#This Row],[제품명]],Merge1[[#This Row],[오더번호]],Merge1[[#This Row],[제조번호]],Merge1[[#This Row],[지시수량]])</f>
        <v>뮤테란주600MG 10A (한화제약)
1015504
25075
6000</v>
      </c>
    </row>
    <row r="895" spans="1:13" ht="54" x14ac:dyDescent="0.25">
      <c r="A895" t="s">
        <v>555</v>
      </c>
      <c r="B895" t="s">
        <v>652</v>
      </c>
      <c r="C895" t="s">
        <v>661</v>
      </c>
      <c r="D895" t="s">
        <v>169</v>
      </c>
      <c r="E895" t="s">
        <v>170</v>
      </c>
      <c r="F895" t="s">
        <v>662</v>
      </c>
      <c r="G895">
        <v>60</v>
      </c>
      <c r="H895" t="s">
        <v>130</v>
      </c>
      <c r="I895" t="s">
        <v>667</v>
      </c>
      <c r="J895">
        <v>6000</v>
      </c>
      <c r="K895">
        <v>11</v>
      </c>
      <c r="L895">
        <f>VLOOKUP(Merge1[[#This Row],[제품코드]],공정중_우선순위[[제품코드]:[우선순위]],4,0)</f>
        <v>12</v>
      </c>
      <c r="M895" s="10" t="str">
        <f>_xlfn.TEXTJOIN(CHAR(10), TRUE, ,Merge1[[#This Row],[제품명]],Merge1[[#This Row],[오더번호]],Merge1[[#This Row],[제조번호]],Merge1[[#This Row],[지시수량]])</f>
        <v>뮤테란주600MG 10A (한화제약)
1015505
25076
6000</v>
      </c>
    </row>
    <row r="896" spans="1:13" ht="54" x14ac:dyDescent="0.25">
      <c r="A896" t="s">
        <v>555</v>
      </c>
      <c r="B896" t="s">
        <v>652</v>
      </c>
      <c r="C896" t="s">
        <v>663</v>
      </c>
      <c r="D896" t="s">
        <v>169</v>
      </c>
      <c r="E896" t="s">
        <v>170</v>
      </c>
      <c r="F896" t="s">
        <v>664</v>
      </c>
      <c r="G896">
        <v>60</v>
      </c>
      <c r="H896" t="s">
        <v>130</v>
      </c>
      <c r="I896" t="s">
        <v>667</v>
      </c>
      <c r="J896">
        <v>6000</v>
      </c>
      <c r="K896">
        <v>11</v>
      </c>
      <c r="L896">
        <f>VLOOKUP(Merge1[[#This Row],[제품코드]],공정중_우선순위[[제품코드]:[우선순위]],4,0)</f>
        <v>12</v>
      </c>
      <c r="M896" s="10" t="str">
        <f>_xlfn.TEXTJOIN(CHAR(10), TRUE, ,Merge1[[#This Row],[제품명]],Merge1[[#This Row],[오더번호]],Merge1[[#This Row],[제조번호]],Merge1[[#This Row],[지시수량]])</f>
        <v>뮤테란주600MG 10A (한화제약)
1015506
25077
6000</v>
      </c>
    </row>
    <row r="897" spans="1:13" ht="54" x14ac:dyDescent="0.25">
      <c r="A897" t="s">
        <v>555</v>
      </c>
      <c r="B897" t="s">
        <v>652</v>
      </c>
      <c r="C897" t="s">
        <v>665</v>
      </c>
      <c r="D897" t="s">
        <v>169</v>
      </c>
      <c r="E897" t="s">
        <v>170</v>
      </c>
      <c r="F897" t="s">
        <v>666</v>
      </c>
      <c r="G897">
        <v>60</v>
      </c>
      <c r="H897" t="s">
        <v>130</v>
      </c>
      <c r="I897" t="s">
        <v>667</v>
      </c>
      <c r="J897">
        <v>6000</v>
      </c>
      <c r="K897">
        <v>11</v>
      </c>
      <c r="L897">
        <f>VLOOKUP(Merge1[[#This Row],[제품코드]],공정중_우선순위[[제품코드]:[우선순위]],4,0)</f>
        <v>12</v>
      </c>
      <c r="M897" s="10" t="str">
        <f>_xlfn.TEXTJOIN(CHAR(10), TRUE, ,Merge1[[#This Row],[제품명]],Merge1[[#This Row],[오더번호]],Merge1[[#This Row],[제조번호]],Merge1[[#This Row],[지시수량]])</f>
        <v>뮤테란주600MG 10A (한화제약)
1015507
25078
6000</v>
      </c>
    </row>
    <row r="898" spans="1:13" ht="67.5" x14ac:dyDescent="0.25">
      <c r="A898" t="s">
        <v>555</v>
      </c>
      <c r="C898" t="s">
        <v>719</v>
      </c>
      <c r="D898" t="s">
        <v>720</v>
      </c>
      <c r="E898" t="s">
        <v>721</v>
      </c>
      <c r="F898" t="s">
        <v>722</v>
      </c>
      <c r="G898">
        <v>20</v>
      </c>
      <c r="H898" t="s">
        <v>126</v>
      </c>
      <c r="I898" t="s">
        <v>638</v>
      </c>
      <c r="J898">
        <v>20000</v>
      </c>
      <c r="L898">
        <f>VLOOKUP(Merge1[[#This Row],[제품코드]],공정중_우선순위[[제품코드]:[우선순위]],4,0)</f>
        <v>13</v>
      </c>
      <c r="M898" s="10" t="str">
        <f>_xlfn.TEXTJOIN(CHAR(10), TRUE, ,Merge1[[#This Row],[제품명]],Merge1[[#This Row],[오더번호]],Merge1[[#This Row],[제조번호]],Merge1[[#This Row],[지시수량]])</f>
        <v>앰플주사제 A라인 메디아필테스트
250411002
MFT-10A 01504
20000</v>
      </c>
    </row>
    <row r="899" spans="1:13" ht="67.5" x14ac:dyDescent="0.25">
      <c r="A899" t="s">
        <v>555</v>
      </c>
      <c r="C899" t="s">
        <v>719</v>
      </c>
      <c r="D899" t="s">
        <v>720</v>
      </c>
      <c r="E899" t="s">
        <v>721</v>
      </c>
      <c r="F899" t="s">
        <v>722</v>
      </c>
      <c r="G899">
        <v>30</v>
      </c>
      <c r="H899" t="s">
        <v>127</v>
      </c>
      <c r="I899" t="s">
        <v>643</v>
      </c>
      <c r="J899">
        <v>20000</v>
      </c>
      <c r="L899">
        <f>VLOOKUP(Merge1[[#This Row],[제품코드]],공정중_우선순위[[제품코드]:[우선순위]],4,0)</f>
        <v>13</v>
      </c>
      <c r="M899" s="10" t="str">
        <f>_xlfn.TEXTJOIN(CHAR(10), TRUE, ,Merge1[[#This Row],[제품명]],Merge1[[#This Row],[오더번호]],Merge1[[#This Row],[제조번호]],Merge1[[#This Row],[지시수량]])</f>
        <v>앰플주사제 A라인 메디아필테스트
250411002
MFT-10A 01504
20000</v>
      </c>
    </row>
    <row r="900" spans="1:13" ht="67.5" x14ac:dyDescent="0.25">
      <c r="A900" t="s">
        <v>555</v>
      </c>
      <c r="C900" t="s">
        <v>719</v>
      </c>
      <c r="D900" t="s">
        <v>720</v>
      </c>
      <c r="E900" t="s">
        <v>721</v>
      </c>
      <c r="F900" t="s">
        <v>722</v>
      </c>
      <c r="G900">
        <v>40</v>
      </c>
      <c r="H900" t="s">
        <v>129</v>
      </c>
      <c r="I900" t="s">
        <v>644</v>
      </c>
      <c r="J900">
        <v>20000</v>
      </c>
      <c r="L900">
        <f>VLOOKUP(Merge1[[#This Row],[제품코드]],공정중_우선순위[[제품코드]:[우선순위]],4,0)</f>
        <v>13</v>
      </c>
      <c r="M900" s="10" t="str">
        <f>_xlfn.TEXTJOIN(CHAR(10), TRUE, ,Merge1[[#This Row],[제품명]],Merge1[[#This Row],[오더번호]],Merge1[[#This Row],[제조번호]],Merge1[[#This Row],[지시수량]])</f>
        <v>앰플주사제 A라인 메디아필테스트
250411002
MFT-10A 01504
20000</v>
      </c>
    </row>
    <row r="901" spans="1:13" ht="54" x14ac:dyDescent="0.25">
      <c r="A901" t="s">
        <v>587</v>
      </c>
      <c r="B901" t="s">
        <v>627</v>
      </c>
      <c r="C901" t="s">
        <v>628</v>
      </c>
      <c r="D901" t="s">
        <v>162</v>
      </c>
      <c r="E901" t="s">
        <v>163</v>
      </c>
      <c r="F901" t="s">
        <v>629</v>
      </c>
      <c r="G901">
        <v>70</v>
      </c>
      <c r="H901" t="s">
        <v>164</v>
      </c>
      <c r="I901" t="s">
        <v>632</v>
      </c>
      <c r="J901">
        <v>4000</v>
      </c>
      <c r="K901">
        <v>5</v>
      </c>
      <c r="L901">
        <f>VLOOKUP(Merge1[[#This Row],[제품코드]],공정중_우선순위[[제품코드]:[우선순위]],4,0)</f>
        <v>2</v>
      </c>
      <c r="M901" s="10" t="str">
        <f>_xlfn.TEXTJOIN(CHAR(10), TRUE, ,Merge1[[#This Row],[제품명]],Merge1[[#This Row],[오더번호]],Merge1[[#This Row],[제조번호]],Merge1[[#This Row],[지시수량]])</f>
        <v>데노간주1G 10V (영진약품)
1015283
25103
4000</v>
      </c>
    </row>
    <row r="902" spans="1:13" ht="54" x14ac:dyDescent="0.25">
      <c r="A902" t="s">
        <v>587</v>
      </c>
      <c r="B902" t="s">
        <v>627</v>
      </c>
      <c r="C902" t="s">
        <v>628</v>
      </c>
      <c r="D902" t="s">
        <v>162</v>
      </c>
      <c r="E902" t="s">
        <v>163</v>
      </c>
      <c r="F902" t="s">
        <v>629</v>
      </c>
      <c r="G902">
        <v>80</v>
      </c>
      <c r="H902" t="s">
        <v>144</v>
      </c>
      <c r="I902" t="s">
        <v>633</v>
      </c>
      <c r="J902">
        <v>4000</v>
      </c>
      <c r="K902">
        <v>5</v>
      </c>
      <c r="L902">
        <f>VLOOKUP(Merge1[[#This Row],[제품코드]],공정중_우선순위[[제품코드]:[우선순위]],4,0)</f>
        <v>2</v>
      </c>
      <c r="M902" s="10" t="str">
        <f>_xlfn.TEXTJOIN(CHAR(10), TRUE, ,Merge1[[#This Row],[제품명]],Merge1[[#This Row],[오더번호]],Merge1[[#This Row],[제조번호]],Merge1[[#This Row],[지시수량]])</f>
        <v>데노간주1G 10V (영진약품)
1015283
25103
4000</v>
      </c>
    </row>
    <row r="903" spans="1:13" ht="54" x14ac:dyDescent="0.25">
      <c r="A903" t="s">
        <v>587</v>
      </c>
      <c r="B903" t="s">
        <v>627</v>
      </c>
      <c r="C903" t="s">
        <v>628</v>
      </c>
      <c r="D903" t="s">
        <v>162</v>
      </c>
      <c r="E903" t="s">
        <v>163</v>
      </c>
      <c r="F903" t="s">
        <v>629</v>
      </c>
      <c r="G903">
        <v>90</v>
      </c>
      <c r="H903" t="s">
        <v>145</v>
      </c>
      <c r="I903" t="s">
        <v>634</v>
      </c>
      <c r="J903">
        <v>4000</v>
      </c>
      <c r="K903">
        <v>7</v>
      </c>
      <c r="L903">
        <f>VLOOKUP(Merge1[[#This Row],[제품코드]],공정중_우선순위[[제품코드]:[우선순위]],4,0)</f>
        <v>2</v>
      </c>
      <c r="M903" s="10" t="str">
        <f>_xlfn.TEXTJOIN(CHAR(10), TRUE, ,Merge1[[#This Row],[제품명]],Merge1[[#This Row],[오더번호]],Merge1[[#This Row],[제조번호]],Merge1[[#This Row],[지시수량]])</f>
        <v>데노간주1G 10V (영진약품)
1015283
25103
4000</v>
      </c>
    </row>
    <row r="904" spans="1:13" ht="54" x14ac:dyDescent="0.25">
      <c r="A904" t="s">
        <v>587</v>
      </c>
      <c r="B904" t="s">
        <v>627</v>
      </c>
      <c r="C904" t="s">
        <v>712</v>
      </c>
      <c r="D904" t="s">
        <v>162</v>
      </c>
      <c r="E904" t="s">
        <v>163</v>
      </c>
      <c r="F904" t="s">
        <v>713</v>
      </c>
      <c r="G904">
        <v>70</v>
      </c>
      <c r="H904" t="s">
        <v>164</v>
      </c>
      <c r="I904" t="s">
        <v>632</v>
      </c>
      <c r="J904">
        <v>4850</v>
      </c>
      <c r="K904">
        <v>6</v>
      </c>
      <c r="L904">
        <f>VLOOKUP(Merge1[[#This Row],[제품코드]],공정중_우선순위[[제품코드]:[우선순위]],4,0)</f>
        <v>2</v>
      </c>
      <c r="M904" s="10" t="str">
        <f>_xlfn.TEXTJOIN(CHAR(10), TRUE, ,Merge1[[#This Row],[제품명]],Merge1[[#This Row],[오더번호]],Merge1[[#This Row],[제조번호]],Merge1[[#This Row],[지시수량]])</f>
        <v>데노간주1G 10V (영진약품)
1015282
25102
4850</v>
      </c>
    </row>
    <row r="905" spans="1:13" ht="54" x14ac:dyDescent="0.25">
      <c r="A905" t="s">
        <v>587</v>
      </c>
      <c r="B905" t="s">
        <v>627</v>
      </c>
      <c r="C905" t="s">
        <v>712</v>
      </c>
      <c r="D905" t="s">
        <v>162</v>
      </c>
      <c r="E905" t="s">
        <v>163</v>
      </c>
      <c r="F905" t="s">
        <v>713</v>
      </c>
      <c r="G905">
        <v>80</v>
      </c>
      <c r="H905" t="s">
        <v>144</v>
      </c>
      <c r="I905" t="s">
        <v>633</v>
      </c>
      <c r="J905">
        <v>4850</v>
      </c>
      <c r="K905">
        <v>6</v>
      </c>
      <c r="L905">
        <f>VLOOKUP(Merge1[[#This Row],[제품코드]],공정중_우선순위[[제품코드]:[우선순위]],4,0)</f>
        <v>2</v>
      </c>
      <c r="M905" s="10" t="str">
        <f>_xlfn.TEXTJOIN(CHAR(10), TRUE, ,Merge1[[#This Row],[제품명]],Merge1[[#This Row],[오더번호]],Merge1[[#This Row],[제조번호]],Merge1[[#This Row],[지시수량]])</f>
        <v>데노간주1G 10V (영진약품)
1015282
25102
4850</v>
      </c>
    </row>
    <row r="906" spans="1:13" ht="54" x14ac:dyDescent="0.25">
      <c r="A906" t="s">
        <v>587</v>
      </c>
      <c r="B906" t="s">
        <v>627</v>
      </c>
      <c r="C906" t="s">
        <v>712</v>
      </c>
      <c r="D906" t="s">
        <v>162</v>
      </c>
      <c r="E906" t="s">
        <v>163</v>
      </c>
      <c r="F906" t="s">
        <v>713</v>
      </c>
      <c r="G906">
        <v>90</v>
      </c>
      <c r="H906" t="s">
        <v>145</v>
      </c>
      <c r="I906" t="s">
        <v>634</v>
      </c>
      <c r="J906">
        <v>4850</v>
      </c>
      <c r="K906">
        <v>7</v>
      </c>
      <c r="L906">
        <f>VLOOKUP(Merge1[[#This Row],[제품코드]],공정중_우선순위[[제품코드]:[우선순위]],4,0)</f>
        <v>2</v>
      </c>
      <c r="M906" s="10" t="str">
        <f>_xlfn.TEXTJOIN(CHAR(10), TRUE, ,Merge1[[#This Row],[제품명]],Merge1[[#This Row],[오더번호]],Merge1[[#This Row],[제조번호]],Merge1[[#This Row],[지시수량]])</f>
        <v>데노간주1G 10V (영진약품)
1015282
25102
4850</v>
      </c>
    </row>
    <row r="907" spans="1:13" ht="54" x14ac:dyDescent="0.25">
      <c r="A907" t="s">
        <v>587</v>
      </c>
      <c r="B907" t="s">
        <v>687</v>
      </c>
      <c r="C907" t="s">
        <v>695</v>
      </c>
      <c r="D907" t="s">
        <v>181</v>
      </c>
      <c r="E907" t="s">
        <v>182</v>
      </c>
      <c r="F907" t="s">
        <v>696</v>
      </c>
      <c r="G907">
        <v>80</v>
      </c>
      <c r="H907" t="s">
        <v>144</v>
      </c>
      <c r="I907" t="s">
        <v>633</v>
      </c>
      <c r="J907">
        <v>5000</v>
      </c>
      <c r="K907">
        <v>7</v>
      </c>
      <c r="L907">
        <f>VLOOKUP(Merge1[[#This Row],[제품코드]],공정중_우선순위[[제품코드]:[우선순위]],4,0)</f>
        <v>3</v>
      </c>
      <c r="M907" s="10" t="str">
        <f>_xlfn.TEXTJOIN(CHAR(10), TRUE, ,Merge1[[#This Row],[제품명]],Merge1[[#This Row],[오더번호]],Merge1[[#This Row],[제조번호]],Merge1[[#This Row],[지시수량]])</f>
        <v>셀베인주 10V (제론셀베인)
1015374
CVI2507
5000</v>
      </c>
    </row>
    <row r="908" spans="1:13" ht="54" x14ac:dyDescent="0.25">
      <c r="A908" t="s">
        <v>587</v>
      </c>
      <c r="B908" t="s">
        <v>687</v>
      </c>
      <c r="C908" t="s">
        <v>692</v>
      </c>
      <c r="D908" t="s">
        <v>181</v>
      </c>
      <c r="E908" t="s">
        <v>182</v>
      </c>
      <c r="F908" t="s">
        <v>693</v>
      </c>
      <c r="G908">
        <v>80</v>
      </c>
      <c r="H908" t="s">
        <v>144</v>
      </c>
      <c r="I908" t="s">
        <v>633</v>
      </c>
      <c r="J908">
        <v>5000</v>
      </c>
      <c r="K908">
        <v>7</v>
      </c>
      <c r="L908">
        <f>VLOOKUP(Merge1[[#This Row],[제품코드]],공정중_우선순위[[제품코드]:[우선순위]],4,0)</f>
        <v>3</v>
      </c>
      <c r="M908" s="10" t="str">
        <f>_xlfn.TEXTJOIN(CHAR(10), TRUE, ,Merge1[[#This Row],[제품명]],Merge1[[#This Row],[오더번호]],Merge1[[#This Row],[제조번호]],Merge1[[#This Row],[지시수량]])</f>
        <v>셀베인주 10V (제론셀베인)
1015375
CVI2508
5000</v>
      </c>
    </row>
    <row r="909" spans="1:13" ht="54" x14ac:dyDescent="0.25">
      <c r="A909" t="s">
        <v>587</v>
      </c>
      <c r="B909" t="s">
        <v>687</v>
      </c>
      <c r="C909" t="s">
        <v>688</v>
      </c>
      <c r="D909" t="s">
        <v>181</v>
      </c>
      <c r="E909" t="s">
        <v>182</v>
      </c>
      <c r="F909" t="s">
        <v>689</v>
      </c>
      <c r="G909">
        <v>80</v>
      </c>
      <c r="H909" t="s">
        <v>144</v>
      </c>
      <c r="I909" t="s">
        <v>633</v>
      </c>
      <c r="J909">
        <v>5000</v>
      </c>
      <c r="K909">
        <v>7</v>
      </c>
      <c r="L909">
        <f>VLOOKUP(Merge1[[#This Row],[제품코드]],공정중_우선순위[[제품코드]:[우선순위]],4,0)</f>
        <v>3</v>
      </c>
      <c r="M909" s="10" t="str">
        <f>_xlfn.TEXTJOIN(CHAR(10), TRUE, ,Merge1[[#This Row],[제품명]],Merge1[[#This Row],[오더번호]],Merge1[[#This Row],[제조번호]],Merge1[[#This Row],[지시수량]])</f>
        <v>셀베인주 10V (제론셀베인)
1015376
CVI2509
5000</v>
      </c>
    </row>
    <row r="910" spans="1:13" ht="54" x14ac:dyDescent="0.25">
      <c r="A910" t="s">
        <v>587</v>
      </c>
      <c r="B910" t="s">
        <v>687</v>
      </c>
      <c r="C910" t="s">
        <v>695</v>
      </c>
      <c r="D910" t="s">
        <v>181</v>
      </c>
      <c r="E910" t="s">
        <v>182</v>
      </c>
      <c r="F910" t="s">
        <v>696</v>
      </c>
      <c r="G910">
        <v>90</v>
      </c>
      <c r="H910" t="s">
        <v>145</v>
      </c>
      <c r="I910" t="s">
        <v>634</v>
      </c>
      <c r="J910">
        <v>5000</v>
      </c>
      <c r="K910">
        <v>6</v>
      </c>
      <c r="L910">
        <f>VLOOKUP(Merge1[[#This Row],[제품코드]],공정중_우선순위[[제품코드]:[우선순위]],4,0)</f>
        <v>3</v>
      </c>
      <c r="M910" s="10" t="str">
        <f>_xlfn.TEXTJOIN(CHAR(10), TRUE, ,Merge1[[#This Row],[제품명]],Merge1[[#This Row],[오더번호]],Merge1[[#This Row],[제조번호]],Merge1[[#This Row],[지시수량]])</f>
        <v>셀베인주 10V (제론셀베인)
1015374
CVI2507
5000</v>
      </c>
    </row>
    <row r="911" spans="1:13" ht="54" x14ac:dyDescent="0.25">
      <c r="A911" t="s">
        <v>587</v>
      </c>
      <c r="B911" t="s">
        <v>687</v>
      </c>
      <c r="C911" t="s">
        <v>692</v>
      </c>
      <c r="D911" t="s">
        <v>181</v>
      </c>
      <c r="E911" t="s">
        <v>182</v>
      </c>
      <c r="F911" t="s">
        <v>693</v>
      </c>
      <c r="G911">
        <v>90</v>
      </c>
      <c r="H911" t="s">
        <v>145</v>
      </c>
      <c r="I911" t="s">
        <v>634</v>
      </c>
      <c r="J911">
        <v>5000</v>
      </c>
      <c r="K911">
        <v>6</v>
      </c>
      <c r="L911">
        <f>VLOOKUP(Merge1[[#This Row],[제품코드]],공정중_우선순위[[제품코드]:[우선순위]],4,0)</f>
        <v>3</v>
      </c>
      <c r="M911" s="10" t="str">
        <f>_xlfn.TEXTJOIN(CHAR(10), TRUE, ,Merge1[[#This Row],[제품명]],Merge1[[#This Row],[오더번호]],Merge1[[#This Row],[제조번호]],Merge1[[#This Row],[지시수량]])</f>
        <v>셀베인주 10V (제론셀베인)
1015375
CVI2508
5000</v>
      </c>
    </row>
    <row r="912" spans="1:13" ht="54" x14ac:dyDescent="0.25">
      <c r="A912" t="s">
        <v>587</v>
      </c>
      <c r="B912" t="s">
        <v>687</v>
      </c>
      <c r="C912" t="s">
        <v>688</v>
      </c>
      <c r="D912" t="s">
        <v>181</v>
      </c>
      <c r="E912" t="s">
        <v>182</v>
      </c>
      <c r="F912" t="s">
        <v>689</v>
      </c>
      <c r="G912">
        <v>90</v>
      </c>
      <c r="H912" t="s">
        <v>145</v>
      </c>
      <c r="I912" t="s">
        <v>634</v>
      </c>
      <c r="J912">
        <v>5000</v>
      </c>
      <c r="K912">
        <v>6</v>
      </c>
      <c r="L912">
        <f>VLOOKUP(Merge1[[#This Row],[제품코드]],공정중_우선순위[[제품코드]:[우선순위]],4,0)</f>
        <v>3</v>
      </c>
      <c r="M912" s="10" t="str">
        <f>_xlfn.TEXTJOIN(CHAR(10), TRUE, ,Merge1[[#This Row],[제품명]],Merge1[[#This Row],[오더번호]],Merge1[[#This Row],[제조번호]],Merge1[[#This Row],[지시수량]])</f>
        <v>셀베인주 10V (제론셀베인)
1015376
CVI2509
5000</v>
      </c>
    </row>
    <row r="913" spans="1:13" ht="67.5" x14ac:dyDescent="0.25">
      <c r="A913" t="s">
        <v>587</v>
      </c>
      <c r="B913" t="s">
        <v>668</v>
      </c>
      <c r="C913" t="s">
        <v>685</v>
      </c>
      <c r="D913" t="s">
        <v>179</v>
      </c>
      <c r="E913" t="s">
        <v>180</v>
      </c>
      <c r="F913" t="s">
        <v>686</v>
      </c>
      <c r="G913">
        <v>70</v>
      </c>
      <c r="H913" t="s">
        <v>131</v>
      </c>
      <c r="I913" t="s">
        <v>606</v>
      </c>
      <c r="J913">
        <v>4000</v>
      </c>
      <c r="K913">
        <v>8</v>
      </c>
      <c r="L913">
        <f>VLOOKUP(Merge1[[#This Row],[제품코드]],공정중_우선순위[[제품코드]:[우선순위]],4,0)</f>
        <v>4</v>
      </c>
      <c r="M913" s="10" t="str">
        <f>_xlfn.TEXTJOIN(CHAR(10), TRUE, ,Merge1[[#This Row],[제품명]],Merge1[[#This Row],[오더번호]],Merge1[[#This Row],[제조번호]],Merge1[[#This Row],[지시수량]])</f>
        <v>메트몰주 1G/10ML(구주제약) 10A
1015652
50142513
4000</v>
      </c>
    </row>
    <row r="914" spans="1:13" ht="67.5" x14ac:dyDescent="0.25">
      <c r="A914" t="s">
        <v>587</v>
      </c>
      <c r="B914" t="s">
        <v>668</v>
      </c>
      <c r="C914" t="s">
        <v>683</v>
      </c>
      <c r="D914" t="s">
        <v>179</v>
      </c>
      <c r="E914" t="s">
        <v>180</v>
      </c>
      <c r="F914" t="s">
        <v>684</v>
      </c>
      <c r="G914">
        <v>70</v>
      </c>
      <c r="H914" t="s">
        <v>131</v>
      </c>
      <c r="I914" t="s">
        <v>606</v>
      </c>
      <c r="J914">
        <v>4000</v>
      </c>
      <c r="K914">
        <v>8</v>
      </c>
      <c r="L914">
        <f>VLOOKUP(Merge1[[#This Row],[제품코드]],공정중_우선순위[[제품코드]:[우선순위]],4,0)</f>
        <v>4</v>
      </c>
      <c r="M914" s="10" t="str">
        <f>_xlfn.TEXTJOIN(CHAR(10), TRUE, ,Merge1[[#This Row],[제품명]],Merge1[[#This Row],[오더번호]],Merge1[[#This Row],[제조번호]],Merge1[[#This Row],[지시수량]])</f>
        <v>메트몰주 1G/10ML(구주제약) 10A
1015653
50142514
4000</v>
      </c>
    </row>
    <row r="915" spans="1:13" ht="67.5" x14ac:dyDescent="0.25">
      <c r="A915" t="s">
        <v>587</v>
      </c>
      <c r="B915" t="s">
        <v>668</v>
      </c>
      <c r="C915" t="s">
        <v>685</v>
      </c>
      <c r="D915" t="s">
        <v>179</v>
      </c>
      <c r="E915" t="s">
        <v>180</v>
      </c>
      <c r="F915" t="s">
        <v>686</v>
      </c>
      <c r="G915">
        <v>80</v>
      </c>
      <c r="H915" t="s">
        <v>139</v>
      </c>
      <c r="I915" t="s">
        <v>596</v>
      </c>
      <c r="J915">
        <v>4000</v>
      </c>
      <c r="K915">
        <v>9</v>
      </c>
      <c r="L915">
        <f>VLOOKUP(Merge1[[#This Row],[제품코드]],공정중_우선순위[[제품코드]:[우선순위]],4,0)</f>
        <v>4</v>
      </c>
      <c r="M915" s="10" t="str">
        <f>_xlfn.TEXTJOIN(CHAR(10), TRUE, ,Merge1[[#This Row],[제품명]],Merge1[[#This Row],[오더번호]],Merge1[[#This Row],[제조번호]],Merge1[[#This Row],[지시수량]])</f>
        <v>메트몰주 1G/10ML(구주제약) 10A
1015652
50142513
4000</v>
      </c>
    </row>
    <row r="916" spans="1:13" ht="67.5" x14ac:dyDescent="0.25">
      <c r="A916" t="s">
        <v>587</v>
      </c>
      <c r="B916" t="s">
        <v>668</v>
      </c>
      <c r="C916" t="s">
        <v>683</v>
      </c>
      <c r="D916" t="s">
        <v>179</v>
      </c>
      <c r="E916" t="s">
        <v>180</v>
      </c>
      <c r="F916" t="s">
        <v>684</v>
      </c>
      <c r="G916">
        <v>80</v>
      </c>
      <c r="H916" t="s">
        <v>139</v>
      </c>
      <c r="I916" t="s">
        <v>596</v>
      </c>
      <c r="J916">
        <v>4000</v>
      </c>
      <c r="K916">
        <v>9</v>
      </c>
      <c r="L916">
        <f>VLOOKUP(Merge1[[#This Row],[제품코드]],공정중_우선순위[[제품코드]:[우선순위]],4,0)</f>
        <v>4</v>
      </c>
      <c r="M916" s="10" t="str">
        <f>_xlfn.TEXTJOIN(CHAR(10), TRUE, ,Merge1[[#This Row],[제품명]],Merge1[[#This Row],[오더번호]],Merge1[[#This Row],[제조번호]],Merge1[[#This Row],[지시수량]])</f>
        <v>메트몰주 1G/10ML(구주제약) 10A
1015653
50142514
4000</v>
      </c>
    </row>
    <row r="917" spans="1:13" ht="67.5" x14ac:dyDescent="0.25">
      <c r="A917" t="s">
        <v>587</v>
      </c>
      <c r="B917" t="s">
        <v>668</v>
      </c>
      <c r="C917" t="s">
        <v>685</v>
      </c>
      <c r="D917" t="s">
        <v>179</v>
      </c>
      <c r="E917" t="s">
        <v>180</v>
      </c>
      <c r="F917" t="s">
        <v>686</v>
      </c>
      <c r="G917">
        <v>90</v>
      </c>
      <c r="H917" t="s">
        <v>145</v>
      </c>
      <c r="I917" t="s">
        <v>602</v>
      </c>
      <c r="J917">
        <v>4000</v>
      </c>
      <c r="K917">
        <v>11</v>
      </c>
      <c r="L917">
        <f>VLOOKUP(Merge1[[#This Row],[제품코드]],공정중_우선순위[[제품코드]:[우선순위]],4,0)</f>
        <v>4</v>
      </c>
      <c r="M917" s="10" t="str">
        <f>_xlfn.TEXTJOIN(CHAR(10), TRUE, ,Merge1[[#This Row],[제품명]],Merge1[[#This Row],[오더번호]],Merge1[[#This Row],[제조번호]],Merge1[[#This Row],[지시수량]])</f>
        <v>메트몰주 1G/10ML(구주제약) 10A
1015652
50142513
4000</v>
      </c>
    </row>
    <row r="918" spans="1:13" ht="67.5" x14ac:dyDescent="0.25">
      <c r="A918" t="s">
        <v>587</v>
      </c>
      <c r="B918" t="s">
        <v>668</v>
      </c>
      <c r="C918" t="s">
        <v>683</v>
      </c>
      <c r="D918" t="s">
        <v>179</v>
      </c>
      <c r="E918" t="s">
        <v>180</v>
      </c>
      <c r="F918" t="s">
        <v>684</v>
      </c>
      <c r="G918">
        <v>90</v>
      </c>
      <c r="H918" t="s">
        <v>145</v>
      </c>
      <c r="I918" t="s">
        <v>602</v>
      </c>
      <c r="J918">
        <v>4000</v>
      </c>
      <c r="K918">
        <v>11</v>
      </c>
      <c r="L918">
        <f>VLOOKUP(Merge1[[#This Row],[제품코드]],공정중_우선순위[[제품코드]:[우선순위]],4,0)</f>
        <v>4</v>
      </c>
      <c r="M918" s="10" t="str">
        <f>_xlfn.TEXTJOIN(CHAR(10), TRUE, ,Merge1[[#This Row],[제품명]],Merge1[[#This Row],[오더번호]],Merge1[[#This Row],[제조번호]],Merge1[[#This Row],[지시수량]])</f>
        <v>메트몰주 1G/10ML(구주제약) 10A
1015653
50142514
4000</v>
      </c>
    </row>
    <row r="919" spans="1:13" ht="54" x14ac:dyDescent="0.25">
      <c r="A919" t="s">
        <v>587</v>
      </c>
      <c r="B919" t="s">
        <v>569</v>
      </c>
      <c r="C919" t="s">
        <v>584</v>
      </c>
      <c r="D919" t="s">
        <v>150</v>
      </c>
      <c r="E919" t="s">
        <v>151</v>
      </c>
      <c r="F919" t="s">
        <v>585</v>
      </c>
      <c r="G919">
        <v>70</v>
      </c>
      <c r="H919" t="s">
        <v>131</v>
      </c>
      <c r="I919" t="s">
        <v>588</v>
      </c>
      <c r="J919">
        <v>2000</v>
      </c>
      <c r="K919">
        <v>13</v>
      </c>
      <c r="L919">
        <f>VLOOKUP(Merge1[[#This Row],[제품코드]],공정중_우선순위[[제품코드]:[우선순위]],4,0)</f>
        <v>5</v>
      </c>
      <c r="M919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920" spans="1:13" ht="54" x14ac:dyDescent="0.25">
      <c r="A920" t="s">
        <v>587</v>
      </c>
      <c r="B920" t="s">
        <v>569</v>
      </c>
      <c r="C920" t="s">
        <v>580</v>
      </c>
      <c r="D920" t="s">
        <v>150</v>
      </c>
      <c r="E920" t="s">
        <v>151</v>
      </c>
      <c r="F920" t="s">
        <v>581</v>
      </c>
      <c r="G920">
        <v>70</v>
      </c>
      <c r="H920" t="s">
        <v>131</v>
      </c>
      <c r="I920" t="s">
        <v>588</v>
      </c>
      <c r="J920">
        <v>2000</v>
      </c>
      <c r="K920">
        <v>13</v>
      </c>
      <c r="L920">
        <f>VLOOKUP(Merge1[[#This Row],[제품코드]],공정중_우선순위[[제품코드]:[우선순위]],4,0)</f>
        <v>5</v>
      </c>
      <c r="M920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921" spans="1:13" ht="54" x14ac:dyDescent="0.25">
      <c r="A921" t="s">
        <v>587</v>
      </c>
      <c r="B921" t="s">
        <v>569</v>
      </c>
      <c r="C921" t="s">
        <v>570</v>
      </c>
      <c r="D921" t="s">
        <v>150</v>
      </c>
      <c r="E921" t="s">
        <v>151</v>
      </c>
      <c r="F921" t="s">
        <v>571</v>
      </c>
      <c r="G921">
        <v>70</v>
      </c>
      <c r="H921" t="s">
        <v>131</v>
      </c>
      <c r="I921" t="s">
        <v>588</v>
      </c>
      <c r="J921">
        <v>2000</v>
      </c>
      <c r="K921">
        <v>13</v>
      </c>
      <c r="L921">
        <f>VLOOKUP(Merge1[[#This Row],[제품코드]],공정중_우선순위[[제품코드]:[우선순위]],4,0)</f>
        <v>5</v>
      </c>
      <c r="M921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922" spans="1:13" ht="54" x14ac:dyDescent="0.25">
      <c r="A922" t="s">
        <v>587</v>
      </c>
      <c r="B922" t="s">
        <v>569</v>
      </c>
      <c r="C922" t="s">
        <v>573</v>
      </c>
      <c r="D922" t="s">
        <v>150</v>
      </c>
      <c r="E922" t="s">
        <v>151</v>
      </c>
      <c r="F922" t="s">
        <v>574</v>
      </c>
      <c r="G922">
        <v>70</v>
      </c>
      <c r="H922" t="s">
        <v>131</v>
      </c>
      <c r="I922" t="s">
        <v>588</v>
      </c>
      <c r="J922">
        <v>2000</v>
      </c>
      <c r="K922">
        <v>13</v>
      </c>
      <c r="L922">
        <f>VLOOKUP(Merge1[[#This Row],[제품코드]],공정중_우선순위[[제품코드]:[우선순위]],4,0)</f>
        <v>5</v>
      </c>
      <c r="M922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923" spans="1:13" ht="54" x14ac:dyDescent="0.25">
      <c r="A923" t="s">
        <v>587</v>
      </c>
      <c r="B923" t="s">
        <v>569</v>
      </c>
      <c r="C923" t="s">
        <v>575</v>
      </c>
      <c r="D923" t="s">
        <v>150</v>
      </c>
      <c r="E923" t="s">
        <v>151</v>
      </c>
      <c r="F923" t="s">
        <v>576</v>
      </c>
      <c r="G923">
        <v>70</v>
      </c>
      <c r="H923" t="s">
        <v>131</v>
      </c>
      <c r="I923" t="s">
        <v>588</v>
      </c>
      <c r="J923">
        <v>2000</v>
      </c>
      <c r="K923">
        <v>13</v>
      </c>
      <c r="L923">
        <f>VLOOKUP(Merge1[[#This Row],[제품코드]],공정중_우선순위[[제품코드]:[우선순위]],4,0)</f>
        <v>5</v>
      </c>
      <c r="M923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924" spans="1:13" ht="54" x14ac:dyDescent="0.25">
      <c r="A924" t="s">
        <v>587</v>
      </c>
      <c r="B924" t="s">
        <v>569</v>
      </c>
      <c r="C924" t="s">
        <v>577</v>
      </c>
      <c r="D924" t="s">
        <v>150</v>
      </c>
      <c r="E924" t="s">
        <v>151</v>
      </c>
      <c r="F924" t="s">
        <v>578</v>
      </c>
      <c r="G924">
        <v>70</v>
      </c>
      <c r="H924" t="s">
        <v>131</v>
      </c>
      <c r="I924" t="s">
        <v>588</v>
      </c>
      <c r="J924">
        <v>2000</v>
      </c>
      <c r="K924">
        <v>13</v>
      </c>
      <c r="L924">
        <f>VLOOKUP(Merge1[[#This Row],[제품코드]],공정중_우선순위[[제품코드]:[우선순위]],4,0)</f>
        <v>5</v>
      </c>
      <c r="M924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925" spans="1:13" ht="54" x14ac:dyDescent="0.25">
      <c r="A925" t="s">
        <v>587</v>
      </c>
      <c r="B925" t="s">
        <v>569</v>
      </c>
      <c r="C925" t="s">
        <v>584</v>
      </c>
      <c r="D925" t="s">
        <v>150</v>
      </c>
      <c r="E925" t="s">
        <v>151</v>
      </c>
      <c r="F925" t="s">
        <v>585</v>
      </c>
      <c r="G925">
        <v>70</v>
      </c>
      <c r="H925" t="s">
        <v>131</v>
      </c>
      <c r="I925" t="s">
        <v>588</v>
      </c>
      <c r="J925">
        <v>2000</v>
      </c>
      <c r="K925">
        <v>11</v>
      </c>
      <c r="L925">
        <f>VLOOKUP(Merge1[[#This Row],[제품코드]],공정중_우선순위[[제품코드]:[우선순위]],4,0)</f>
        <v>5</v>
      </c>
      <c r="M925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926" spans="1:13" ht="54" x14ac:dyDescent="0.25">
      <c r="A926" t="s">
        <v>587</v>
      </c>
      <c r="B926" t="s">
        <v>569</v>
      </c>
      <c r="C926" t="s">
        <v>580</v>
      </c>
      <c r="D926" t="s">
        <v>150</v>
      </c>
      <c r="E926" t="s">
        <v>151</v>
      </c>
      <c r="F926" t="s">
        <v>581</v>
      </c>
      <c r="G926">
        <v>70</v>
      </c>
      <c r="H926" t="s">
        <v>131</v>
      </c>
      <c r="I926" t="s">
        <v>588</v>
      </c>
      <c r="J926">
        <v>2000</v>
      </c>
      <c r="K926">
        <v>11</v>
      </c>
      <c r="L926">
        <f>VLOOKUP(Merge1[[#This Row],[제품코드]],공정중_우선순위[[제품코드]:[우선순위]],4,0)</f>
        <v>5</v>
      </c>
      <c r="M926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927" spans="1:13" ht="54" x14ac:dyDescent="0.25">
      <c r="A927" t="s">
        <v>587</v>
      </c>
      <c r="B927" t="s">
        <v>569</v>
      </c>
      <c r="C927" t="s">
        <v>570</v>
      </c>
      <c r="D927" t="s">
        <v>150</v>
      </c>
      <c r="E927" t="s">
        <v>151</v>
      </c>
      <c r="F927" t="s">
        <v>571</v>
      </c>
      <c r="G927">
        <v>70</v>
      </c>
      <c r="H927" t="s">
        <v>131</v>
      </c>
      <c r="I927" t="s">
        <v>588</v>
      </c>
      <c r="J927">
        <v>2000</v>
      </c>
      <c r="K927">
        <v>11</v>
      </c>
      <c r="L927">
        <f>VLOOKUP(Merge1[[#This Row],[제품코드]],공정중_우선순위[[제품코드]:[우선순위]],4,0)</f>
        <v>5</v>
      </c>
      <c r="M927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928" spans="1:13" ht="54" x14ac:dyDescent="0.25">
      <c r="A928" t="s">
        <v>587</v>
      </c>
      <c r="B928" t="s">
        <v>569</v>
      </c>
      <c r="C928" t="s">
        <v>573</v>
      </c>
      <c r="D928" t="s">
        <v>150</v>
      </c>
      <c r="E928" t="s">
        <v>151</v>
      </c>
      <c r="F928" t="s">
        <v>574</v>
      </c>
      <c r="G928">
        <v>70</v>
      </c>
      <c r="H928" t="s">
        <v>131</v>
      </c>
      <c r="I928" t="s">
        <v>588</v>
      </c>
      <c r="J928">
        <v>2000</v>
      </c>
      <c r="K928">
        <v>11</v>
      </c>
      <c r="L928">
        <f>VLOOKUP(Merge1[[#This Row],[제품코드]],공정중_우선순위[[제품코드]:[우선순위]],4,0)</f>
        <v>5</v>
      </c>
      <c r="M928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929" spans="1:13" ht="54" x14ac:dyDescent="0.25">
      <c r="A929" t="s">
        <v>587</v>
      </c>
      <c r="B929" t="s">
        <v>569</v>
      </c>
      <c r="C929" t="s">
        <v>575</v>
      </c>
      <c r="D929" t="s">
        <v>150</v>
      </c>
      <c r="E929" t="s">
        <v>151</v>
      </c>
      <c r="F929" t="s">
        <v>576</v>
      </c>
      <c r="G929">
        <v>70</v>
      </c>
      <c r="H929" t="s">
        <v>131</v>
      </c>
      <c r="I929" t="s">
        <v>588</v>
      </c>
      <c r="J929">
        <v>2000</v>
      </c>
      <c r="K929">
        <v>11</v>
      </c>
      <c r="L929">
        <f>VLOOKUP(Merge1[[#This Row],[제품코드]],공정중_우선순위[[제품코드]:[우선순위]],4,0)</f>
        <v>5</v>
      </c>
      <c r="M929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930" spans="1:13" ht="54" x14ac:dyDescent="0.25">
      <c r="A930" t="s">
        <v>587</v>
      </c>
      <c r="B930" t="s">
        <v>569</v>
      </c>
      <c r="C930" t="s">
        <v>577</v>
      </c>
      <c r="D930" t="s">
        <v>150</v>
      </c>
      <c r="E930" t="s">
        <v>151</v>
      </c>
      <c r="F930" t="s">
        <v>578</v>
      </c>
      <c r="G930">
        <v>70</v>
      </c>
      <c r="H930" t="s">
        <v>131</v>
      </c>
      <c r="I930" t="s">
        <v>588</v>
      </c>
      <c r="J930">
        <v>2000</v>
      </c>
      <c r="K930">
        <v>11</v>
      </c>
      <c r="L930">
        <f>VLOOKUP(Merge1[[#This Row],[제품코드]],공정중_우선순위[[제품코드]:[우선순위]],4,0)</f>
        <v>5</v>
      </c>
      <c r="M930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931" spans="1:13" ht="54" x14ac:dyDescent="0.25">
      <c r="A931" t="s">
        <v>587</v>
      </c>
      <c r="B931" t="s">
        <v>569</v>
      </c>
      <c r="C931" t="s">
        <v>589</v>
      </c>
      <c r="D931" t="s">
        <v>150</v>
      </c>
      <c r="E931" t="s">
        <v>151</v>
      </c>
      <c r="F931" t="s">
        <v>590</v>
      </c>
      <c r="G931">
        <v>80</v>
      </c>
      <c r="H931" t="s">
        <v>139</v>
      </c>
      <c r="I931" t="s">
        <v>591</v>
      </c>
      <c r="J931">
        <v>2000</v>
      </c>
      <c r="K931">
        <v>10</v>
      </c>
      <c r="L931">
        <f>VLOOKUP(Merge1[[#This Row],[제품코드]],공정중_우선순위[[제품코드]:[우선순위]],4,0)</f>
        <v>5</v>
      </c>
      <c r="M931" s="10" t="str">
        <f>_xlfn.TEXTJOIN(CHAR(10), TRUE, ,Merge1[[#This Row],[제품명]],Merge1[[#This Row],[오더번호]],Merge1[[#This Row],[제조번호]],Merge1[[#This Row],[지시수량]])</f>
        <v>트로돈주50MG 50A
1015470
A002915
2000</v>
      </c>
    </row>
    <row r="932" spans="1:13" ht="54" x14ac:dyDescent="0.25">
      <c r="A932" t="s">
        <v>587</v>
      </c>
      <c r="B932" t="s">
        <v>569</v>
      </c>
      <c r="C932" t="s">
        <v>592</v>
      </c>
      <c r="D932" t="s">
        <v>150</v>
      </c>
      <c r="E932" t="s">
        <v>151</v>
      </c>
      <c r="F932" t="s">
        <v>593</v>
      </c>
      <c r="G932">
        <v>80</v>
      </c>
      <c r="H932" t="s">
        <v>139</v>
      </c>
      <c r="I932" t="s">
        <v>591</v>
      </c>
      <c r="J932">
        <v>2000</v>
      </c>
      <c r="K932">
        <v>10</v>
      </c>
      <c r="L932">
        <f>VLOOKUP(Merge1[[#This Row],[제품코드]],공정중_우선순위[[제품코드]:[우선순위]],4,0)</f>
        <v>5</v>
      </c>
      <c r="M932" s="10" t="str">
        <f>_xlfn.TEXTJOIN(CHAR(10), TRUE, ,Merge1[[#This Row],[제품명]],Merge1[[#This Row],[오더번호]],Merge1[[#This Row],[제조번호]],Merge1[[#This Row],[지시수량]])</f>
        <v>트로돈주50MG 50A
1015471
A002916
2000</v>
      </c>
    </row>
    <row r="933" spans="1:13" ht="54" x14ac:dyDescent="0.25">
      <c r="A933" t="s">
        <v>587</v>
      </c>
      <c r="B933" t="s">
        <v>569</v>
      </c>
      <c r="C933" t="s">
        <v>594</v>
      </c>
      <c r="D933" t="s">
        <v>150</v>
      </c>
      <c r="E933" t="s">
        <v>151</v>
      </c>
      <c r="F933" t="s">
        <v>595</v>
      </c>
      <c r="G933">
        <v>80</v>
      </c>
      <c r="H933" t="s">
        <v>139</v>
      </c>
      <c r="I933" t="s">
        <v>596</v>
      </c>
      <c r="J933">
        <v>2000</v>
      </c>
      <c r="K933">
        <v>10</v>
      </c>
      <c r="L933">
        <f>VLOOKUP(Merge1[[#This Row],[제품코드]],공정중_우선순위[[제품코드]:[우선순위]],4,0)</f>
        <v>5</v>
      </c>
      <c r="M933" s="10" t="str">
        <f>_xlfn.TEXTJOIN(CHAR(10), TRUE, ,Merge1[[#This Row],[제품명]],Merge1[[#This Row],[오더번호]],Merge1[[#This Row],[제조번호]],Merge1[[#This Row],[지시수량]])</f>
        <v>트로돈주50MG 50A
1015472
A002917
2000</v>
      </c>
    </row>
    <row r="934" spans="1:13" ht="54" x14ac:dyDescent="0.25">
      <c r="A934" t="s">
        <v>587</v>
      </c>
      <c r="B934" t="s">
        <v>569</v>
      </c>
      <c r="C934" t="s">
        <v>597</v>
      </c>
      <c r="D934" t="s">
        <v>150</v>
      </c>
      <c r="E934" t="s">
        <v>151</v>
      </c>
      <c r="F934" t="s">
        <v>598</v>
      </c>
      <c r="G934">
        <v>80</v>
      </c>
      <c r="H934" t="s">
        <v>139</v>
      </c>
      <c r="I934" t="s">
        <v>596</v>
      </c>
      <c r="J934">
        <v>2000</v>
      </c>
      <c r="K934">
        <v>10</v>
      </c>
      <c r="L934">
        <f>VLOOKUP(Merge1[[#This Row],[제품코드]],공정중_우선순위[[제품코드]:[우선순위]],4,0)</f>
        <v>5</v>
      </c>
      <c r="M934" s="10" t="str">
        <f>_xlfn.TEXTJOIN(CHAR(10), TRUE, ,Merge1[[#This Row],[제품명]],Merge1[[#This Row],[오더번호]],Merge1[[#This Row],[제조번호]],Merge1[[#This Row],[지시수량]])</f>
        <v>트로돈주50MG 50A
1015473
A002918
2000</v>
      </c>
    </row>
    <row r="935" spans="1:13" ht="54" x14ac:dyDescent="0.25">
      <c r="A935" t="s">
        <v>587</v>
      </c>
      <c r="B935" t="s">
        <v>569</v>
      </c>
      <c r="C935" t="s">
        <v>599</v>
      </c>
      <c r="D935" t="s">
        <v>150</v>
      </c>
      <c r="E935" t="s">
        <v>151</v>
      </c>
      <c r="F935" t="s">
        <v>600</v>
      </c>
      <c r="G935">
        <v>80</v>
      </c>
      <c r="H935" t="s">
        <v>139</v>
      </c>
      <c r="I935" t="s">
        <v>596</v>
      </c>
      <c r="J935">
        <v>2000</v>
      </c>
      <c r="K935">
        <v>10</v>
      </c>
      <c r="L935">
        <f>VLOOKUP(Merge1[[#This Row],[제품코드]],공정중_우선순위[[제품코드]:[우선순위]],4,0)</f>
        <v>5</v>
      </c>
      <c r="M935" s="10" t="str">
        <f>_xlfn.TEXTJOIN(CHAR(10), TRUE, ,Merge1[[#This Row],[제품명]],Merge1[[#This Row],[오더번호]],Merge1[[#This Row],[제조번호]],Merge1[[#This Row],[지시수량]])</f>
        <v>트로돈주50MG 50A
1015561
A002940
2000</v>
      </c>
    </row>
    <row r="936" spans="1:13" ht="54" x14ac:dyDescent="0.25">
      <c r="A936" t="s">
        <v>587</v>
      </c>
      <c r="B936" t="s">
        <v>569</v>
      </c>
      <c r="C936" t="s">
        <v>584</v>
      </c>
      <c r="D936" t="s">
        <v>150</v>
      </c>
      <c r="E936" t="s">
        <v>151</v>
      </c>
      <c r="F936" t="s">
        <v>585</v>
      </c>
      <c r="G936">
        <v>80</v>
      </c>
      <c r="H936" t="s">
        <v>139</v>
      </c>
      <c r="I936" t="s">
        <v>596</v>
      </c>
      <c r="J936">
        <v>2000</v>
      </c>
      <c r="K936">
        <v>10</v>
      </c>
      <c r="L936">
        <f>VLOOKUP(Merge1[[#This Row],[제품코드]],공정중_우선순위[[제품코드]:[우선순위]],4,0)</f>
        <v>5</v>
      </c>
      <c r="M936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937" spans="1:13" ht="54" x14ac:dyDescent="0.25">
      <c r="A937" t="s">
        <v>587</v>
      </c>
      <c r="B937" t="s">
        <v>569</v>
      </c>
      <c r="C937" t="s">
        <v>580</v>
      </c>
      <c r="D937" t="s">
        <v>150</v>
      </c>
      <c r="E937" t="s">
        <v>151</v>
      </c>
      <c r="F937" t="s">
        <v>581</v>
      </c>
      <c r="G937">
        <v>80</v>
      </c>
      <c r="H937" t="s">
        <v>139</v>
      </c>
      <c r="I937" t="s">
        <v>596</v>
      </c>
      <c r="J937">
        <v>2000</v>
      </c>
      <c r="K937">
        <v>10</v>
      </c>
      <c r="L937">
        <f>VLOOKUP(Merge1[[#This Row],[제품코드]],공정중_우선순위[[제품코드]:[우선순위]],4,0)</f>
        <v>5</v>
      </c>
      <c r="M937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938" spans="1:13" ht="54" x14ac:dyDescent="0.25">
      <c r="A938" t="s">
        <v>587</v>
      </c>
      <c r="B938" t="s">
        <v>569</v>
      </c>
      <c r="C938" t="s">
        <v>570</v>
      </c>
      <c r="D938" t="s">
        <v>150</v>
      </c>
      <c r="E938" t="s">
        <v>151</v>
      </c>
      <c r="F938" t="s">
        <v>571</v>
      </c>
      <c r="G938">
        <v>80</v>
      </c>
      <c r="H938" t="s">
        <v>139</v>
      </c>
      <c r="I938" t="s">
        <v>596</v>
      </c>
      <c r="J938">
        <v>2000</v>
      </c>
      <c r="K938">
        <v>10</v>
      </c>
      <c r="L938">
        <f>VLOOKUP(Merge1[[#This Row],[제품코드]],공정중_우선순위[[제품코드]:[우선순위]],4,0)</f>
        <v>5</v>
      </c>
      <c r="M938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939" spans="1:13" ht="54" x14ac:dyDescent="0.25">
      <c r="A939" t="s">
        <v>587</v>
      </c>
      <c r="B939" t="s">
        <v>569</v>
      </c>
      <c r="C939" t="s">
        <v>573</v>
      </c>
      <c r="D939" t="s">
        <v>150</v>
      </c>
      <c r="E939" t="s">
        <v>151</v>
      </c>
      <c r="F939" t="s">
        <v>574</v>
      </c>
      <c r="G939">
        <v>80</v>
      </c>
      <c r="H939" t="s">
        <v>139</v>
      </c>
      <c r="I939" t="s">
        <v>596</v>
      </c>
      <c r="J939">
        <v>2000</v>
      </c>
      <c r="K939">
        <v>10</v>
      </c>
      <c r="L939">
        <f>VLOOKUP(Merge1[[#This Row],[제품코드]],공정중_우선순위[[제품코드]:[우선순위]],4,0)</f>
        <v>5</v>
      </c>
      <c r="M939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940" spans="1:13" ht="54" x14ac:dyDescent="0.25">
      <c r="A940" t="s">
        <v>587</v>
      </c>
      <c r="B940" t="s">
        <v>569</v>
      </c>
      <c r="C940" t="s">
        <v>575</v>
      </c>
      <c r="D940" t="s">
        <v>150</v>
      </c>
      <c r="E940" t="s">
        <v>151</v>
      </c>
      <c r="F940" t="s">
        <v>576</v>
      </c>
      <c r="G940">
        <v>80</v>
      </c>
      <c r="H940" t="s">
        <v>139</v>
      </c>
      <c r="I940" t="s">
        <v>596</v>
      </c>
      <c r="J940">
        <v>2000</v>
      </c>
      <c r="K940">
        <v>10</v>
      </c>
      <c r="L940">
        <f>VLOOKUP(Merge1[[#This Row],[제품코드]],공정중_우선순위[[제품코드]:[우선순위]],4,0)</f>
        <v>5</v>
      </c>
      <c r="M940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941" spans="1:13" ht="54" x14ac:dyDescent="0.25">
      <c r="A941" t="s">
        <v>587</v>
      </c>
      <c r="B941" t="s">
        <v>569</v>
      </c>
      <c r="C941" t="s">
        <v>577</v>
      </c>
      <c r="D941" t="s">
        <v>150</v>
      </c>
      <c r="E941" t="s">
        <v>151</v>
      </c>
      <c r="F941" t="s">
        <v>578</v>
      </c>
      <c r="G941">
        <v>80</v>
      </c>
      <c r="H941" t="s">
        <v>139</v>
      </c>
      <c r="I941" t="s">
        <v>596</v>
      </c>
      <c r="J941">
        <v>2000</v>
      </c>
      <c r="K941">
        <v>10</v>
      </c>
      <c r="L941">
        <f>VLOOKUP(Merge1[[#This Row],[제품코드]],공정중_우선순위[[제품코드]:[우선순위]],4,0)</f>
        <v>5</v>
      </c>
      <c r="M941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942" spans="1:13" ht="54" x14ac:dyDescent="0.25">
      <c r="A942" t="s">
        <v>587</v>
      </c>
      <c r="B942" t="s">
        <v>569</v>
      </c>
      <c r="C942" t="s">
        <v>589</v>
      </c>
      <c r="D942" t="s">
        <v>150</v>
      </c>
      <c r="E942" t="s">
        <v>151</v>
      </c>
      <c r="F942" t="s">
        <v>590</v>
      </c>
      <c r="G942">
        <v>80</v>
      </c>
      <c r="H942" t="s">
        <v>139</v>
      </c>
      <c r="I942" t="s">
        <v>591</v>
      </c>
      <c r="J942">
        <v>2000</v>
      </c>
      <c r="K942">
        <v>8</v>
      </c>
      <c r="L942">
        <f>VLOOKUP(Merge1[[#This Row],[제품코드]],공정중_우선순위[[제품코드]:[우선순위]],4,0)</f>
        <v>5</v>
      </c>
      <c r="M942" s="10" t="str">
        <f>_xlfn.TEXTJOIN(CHAR(10), TRUE, ,Merge1[[#This Row],[제품명]],Merge1[[#This Row],[오더번호]],Merge1[[#This Row],[제조번호]],Merge1[[#This Row],[지시수량]])</f>
        <v>트로돈주50MG 50A
1015470
A002915
2000</v>
      </c>
    </row>
    <row r="943" spans="1:13" ht="54" x14ac:dyDescent="0.25">
      <c r="A943" t="s">
        <v>587</v>
      </c>
      <c r="B943" t="s">
        <v>569</v>
      </c>
      <c r="C943" t="s">
        <v>592</v>
      </c>
      <c r="D943" t="s">
        <v>150</v>
      </c>
      <c r="E943" t="s">
        <v>151</v>
      </c>
      <c r="F943" t="s">
        <v>593</v>
      </c>
      <c r="G943">
        <v>80</v>
      </c>
      <c r="H943" t="s">
        <v>139</v>
      </c>
      <c r="I943" t="s">
        <v>591</v>
      </c>
      <c r="J943">
        <v>2000</v>
      </c>
      <c r="K943">
        <v>8</v>
      </c>
      <c r="L943">
        <f>VLOOKUP(Merge1[[#This Row],[제품코드]],공정중_우선순위[[제품코드]:[우선순위]],4,0)</f>
        <v>5</v>
      </c>
      <c r="M943" s="10" t="str">
        <f>_xlfn.TEXTJOIN(CHAR(10), TRUE, ,Merge1[[#This Row],[제품명]],Merge1[[#This Row],[오더번호]],Merge1[[#This Row],[제조번호]],Merge1[[#This Row],[지시수량]])</f>
        <v>트로돈주50MG 50A
1015471
A002916
2000</v>
      </c>
    </row>
    <row r="944" spans="1:13" ht="54" x14ac:dyDescent="0.25">
      <c r="A944" t="s">
        <v>587</v>
      </c>
      <c r="B944" t="s">
        <v>569</v>
      </c>
      <c r="C944" t="s">
        <v>594</v>
      </c>
      <c r="D944" t="s">
        <v>150</v>
      </c>
      <c r="E944" t="s">
        <v>151</v>
      </c>
      <c r="F944" t="s">
        <v>595</v>
      </c>
      <c r="G944">
        <v>80</v>
      </c>
      <c r="H944" t="s">
        <v>139</v>
      </c>
      <c r="I944" t="s">
        <v>596</v>
      </c>
      <c r="J944">
        <v>2000</v>
      </c>
      <c r="K944">
        <v>8</v>
      </c>
      <c r="L944">
        <f>VLOOKUP(Merge1[[#This Row],[제품코드]],공정중_우선순위[[제품코드]:[우선순위]],4,0)</f>
        <v>5</v>
      </c>
      <c r="M944" s="10" t="str">
        <f>_xlfn.TEXTJOIN(CHAR(10), TRUE, ,Merge1[[#This Row],[제품명]],Merge1[[#This Row],[오더번호]],Merge1[[#This Row],[제조번호]],Merge1[[#This Row],[지시수량]])</f>
        <v>트로돈주50MG 50A
1015472
A002917
2000</v>
      </c>
    </row>
    <row r="945" spans="1:13" ht="54" x14ac:dyDescent="0.25">
      <c r="A945" t="s">
        <v>587</v>
      </c>
      <c r="B945" t="s">
        <v>569</v>
      </c>
      <c r="C945" t="s">
        <v>597</v>
      </c>
      <c r="D945" t="s">
        <v>150</v>
      </c>
      <c r="E945" t="s">
        <v>151</v>
      </c>
      <c r="F945" t="s">
        <v>598</v>
      </c>
      <c r="G945">
        <v>80</v>
      </c>
      <c r="H945" t="s">
        <v>139</v>
      </c>
      <c r="I945" t="s">
        <v>596</v>
      </c>
      <c r="J945">
        <v>2000</v>
      </c>
      <c r="K945">
        <v>8</v>
      </c>
      <c r="L945">
        <f>VLOOKUP(Merge1[[#This Row],[제품코드]],공정중_우선순위[[제품코드]:[우선순위]],4,0)</f>
        <v>5</v>
      </c>
      <c r="M945" s="10" t="str">
        <f>_xlfn.TEXTJOIN(CHAR(10), TRUE, ,Merge1[[#This Row],[제품명]],Merge1[[#This Row],[오더번호]],Merge1[[#This Row],[제조번호]],Merge1[[#This Row],[지시수량]])</f>
        <v>트로돈주50MG 50A
1015473
A002918
2000</v>
      </c>
    </row>
    <row r="946" spans="1:13" ht="54" x14ac:dyDescent="0.25">
      <c r="A946" t="s">
        <v>587</v>
      </c>
      <c r="B946" t="s">
        <v>569</v>
      </c>
      <c r="C946" t="s">
        <v>599</v>
      </c>
      <c r="D946" t="s">
        <v>150</v>
      </c>
      <c r="E946" t="s">
        <v>151</v>
      </c>
      <c r="F946" t="s">
        <v>600</v>
      </c>
      <c r="G946">
        <v>80</v>
      </c>
      <c r="H946" t="s">
        <v>139</v>
      </c>
      <c r="I946" t="s">
        <v>596</v>
      </c>
      <c r="J946">
        <v>2000</v>
      </c>
      <c r="K946">
        <v>8</v>
      </c>
      <c r="L946">
        <f>VLOOKUP(Merge1[[#This Row],[제품코드]],공정중_우선순위[[제품코드]:[우선순위]],4,0)</f>
        <v>5</v>
      </c>
      <c r="M946" s="10" t="str">
        <f>_xlfn.TEXTJOIN(CHAR(10), TRUE, ,Merge1[[#This Row],[제품명]],Merge1[[#This Row],[오더번호]],Merge1[[#This Row],[제조번호]],Merge1[[#This Row],[지시수량]])</f>
        <v>트로돈주50MG 50A
1015561
A002940
2000</v>
      </c>
    </row>
    <row r="947" spans="1:13" ht="54" x14ac:dyDescent="0.25">
      <c r="A947" t="s">
        <v>587</v>
      </c>
      <c r="B947" t="s">
        <v>569</v>
      </c>
      <c r="C947" t="s">
        <v>584</v>
      </c>
      <c r="D947" t="s">
        <v>150</v>
      </c>
      <c r="E947" t="s">
        <v>151</v>
      </c>
      <c r="F947" t="s">
        <v>585</v>
      </c>
      <c r="G947">
        <v>80</v>
      </c>
      <c r="H947" t="s">
        <v>139</v>
      </c>
      <c r="I947" t="s">
        <v>596</v>
      </c>
      <c r="J947">
        <v>2000</v>
      </c>
      <c r="K947">
        <v>8</v>
      </c>
      <c r="L947">
        <f>VLOOKUP(Merge1[[#This Row],[제품코드]],공정중_우선순위[[제품코드]:[우선순위]],4,0)</f>
        <v>5</v>
      </c>
      <c r="M947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948" spans="1:13" ht="54" x14ac:dyDescent="0.25">
      <c r="A948" t="s">
        <v>587</v>
      </c>
      <c r="B948" t="s">
        <v>569</v>
      </c>
      <c r="C948" t="s">
        <v>580</v>
      </c>
      <c r="D948" t="s">
        <v>150</v>
      </c>
      <c r="E948" t="s">
        <v>151</v>
      </c>
      <c r="F948" t="s">
        <v>581</v>
      </c>
      <c r="G948">
        <v>80</v>
      </c>
      <c r="H948" t="s">
        <v>139</v>
      </c>
      <c r="I948" t="s">
        <v>596</v>
      </c>
      <c r="J948">
        <v>2000</v>
      </c>
      <c r="K948">
        <v>8</v>
      </c>
      <c r="L948">
        <f>VLOOKUP(Merge1[[#This Row],[제품코드]],공정중_우선순위[[제품코드]:[우선순위]],4,0)</f>
        <v>5</v>
      </c>
      <c r="M948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949" spans="1:13" ht="54" x14ac:dyDescent="0.25">
      <c r="A949" t="s">
        <v>587</v>
      </c>
      <c r="B949" t="s">
        <v>569</v>
      </c>
      <c r="C949" t="s">
        <v>570</v>
      </c>
      <c r="D949" t="s">
        <v>150</v>
      </c>
      <c r="E949" t="s">
        <v>151</v>
      </c>
      <c r="F949" t="s">
        <v>571</v>
      </c>
      <c r="G949">
        <v>80</v>
      </c>
      <c r="H949" t="s">
        <v>139</v>
      </c>
      <c r="I949" t="s">
        <v>596</v>
      </c>
      <c r="J949">
        <v>2000</v>
      </c>
      <c r="K949">
        <v>8</v>
      </c>
      <c r="L949">
        <f>VLOOKUP(Merge1[[#This Row],[제품코드]],공정중_우선순위[[제품코드]:[우선순위]],4,0)</f>
        <v>5</v>
      </c>
      <c r="M949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950" spans="1:13" ht="54" x14ac:dyDescent="0.25">
      <c r="A950" t="s">
        <v>587</v>
      </c>
      <c r="B950" t="s">
        <v>569</v>
      </c>
      <c r="C950" t="s">
        <v>573</v>
      </c>
      <c r="D950" t="s">
        <v>150</v>
      </c>
      <c r="E950" t="s">
        <v>151</v>
      </c>
      <c r="F950" t="s">
        <v>574</v>
      </c>
      <c r="G950">
        <v>80</v>
      </c>
      <c r="H950" t="s">
        <v>139</v>
      </c>
      <c r="I950" t="s">
        <v>596</v>
      </c>
      <c r="J950">
        <v>2000</v>
      </c>
      <c r="K950">
        <v>8</v>
      </c>
      <c r="L950">
        <f>VLOOKUP(Merge1[[#This Row],[제품코드]],공정중_우선순위[[제품코드]:[우선순위]],4,0)</f>
        <v>5</v>
      </c>
      <c r="M950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951" spans="1:13" ht="54" x14ac:dyDescent="0.25">
      <c r="A951" t="s">
        <v>587</v>
      </c>
      <c r="B951" t="s">
        <v>569</v>
      </c>
      <c r="C951" t="s">
        <v>575</v>
      </c>
      <c r="D951" t="s">
        <v>150</v>
      </c>
      <c r="E951" t="s">
        <v>151</v>
      </c>
      <c r="F951" t="s">
        <v>576</v>
      </c>
      <c r="G951">
        <v>80</v>
      </c>
      <c r="H951" t="s">
        <v>139</v>
      </c>
      <c r="I951" t="s">
        <v>596</v>
      </c>
      <c r="J951">
        <v>2000</v>
      </c>
      <c r="K951">
        <v>8</v>
      </c>
      <c r="L951">
        <f>VLOOKUP(Merge1[[#This Row],[제품코드]],공정중_우선순위[[제품코드]:[우선순위]],4,0)</f>
        <v>5</v>
      </c>
      <c r="M951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952" spans="1:13" ht="54" x14ac:dyDescent="0.25">
      <c r="A952" t="s">
        <v>587</v>
      </c>
      <c r="B952" t="s">
        <v>569</v>
      </c>
      <c r="C952" t="s">
        <v>577</v>
      </c>
      <c r="D952" t="s">
        <v>150</v>
      </c>
      <c r="E952" t="s">
        <v>151</v>
      </c>
      <c r="F952" t="s">
        <v>578</v>
      </c>
      <c r="G952">
        <v>80</v>
      </c>
      <c r="H952" t="s">
        <v>139</v>
      </c>
      <c r="I952" t="s">
        <v>596</v>
      </c>
      <c r="J952">
        <v>2000</v>
      </c>
      <c r="K952">
        <v>8</v>
      </c>
      <c r="L952">
        <f>VLOOKUP(Merge1[[#This Row],[제품코드]],공정중_우선순위[[제품코드]:[우선순위]],4,0)</f>
        <v>5</v>
      </c>
      <c r="M952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953" spans="1:13" ht="54" x14ac:dyDescent="0.25">
      <c r="A953" t="s">
        <v>587</v>
      </c>
      <c r="B953" t="s">
        <v>569</v>
      </c>
      <c r="C953" t="s">
        <v>589</v>
      </c>
      <c r="D953" t="s">
        <v>150</v>
      </c>
      <c r="E953" t="s">
        <v>151</v>
      </c>
      <c r="F953" t="s">
        <v>590</v>
      </c>
      <c r="G953">
        <v>90</v>
      </c>
      <c r="H953" t="s">
        <v>145</v>
      </c>
      <c r="I953" t="s">
        <v>601</v>
      </c>
      <c r="J953">
        <v>2000</v>
      </c>
      <c r="K953">
        <v>10</v>
      </c>
      <c r="L953">
        <f>VLOOKUP(Merge1[[#This Row],[제품코드]],공정중_우선순위[[제품코드]:[우선순위]],4,0)</f>
        <v>5</v>
      </c>
      <c r="M953" s="10" t="str">
        <f>_xlfn.TEXTJOIN(CHAR(10), TRUE, ,Merge1[[#This Row],[제품명]],Merge1[[#This Row],[오더번호]],Merge1[[#This Row],[제조번호]],Merge1[[#This Row],[지시수량]])</f>
        <v>트로돈주50MG 50A
1015470
A002915
2000</v>
      </c>
    </row>
    <row r="954" spans="1:13" ht="54" x14ac:dyDescent="0.25">
      <c r="A954" t="s">
        <v>587</v>
      </c>
      <c r="B954" t="s">
        <v>569</v>
      </c>
      <c r="C954" t="s">
        <v>592</v>
      </c>
      <c r="D954" t="s">
        <v>150</v>
      </c>
      <c r="E954" t="s">
        <v>151</v>
      </c>
      <c r="F954" t="s">
        <v>593</v>
      </c>
      <c r="G954">
        <v>90</v>
      </c>
      <c r="H954" t="s">
        <v>145</v>
      </c>
      <c r="I954" t="s">
        <v>601</v>
      </c>
      <c r="J954">
        <v>2000</v>
      </c>
      <c r="K954">
        <v>10</v>
      </c>
      <c r="L954">
        <f>VLOOKUP(Merge1[[#This Row],[제품코드]],공정중_우선순위[[제품코드]:[우선순위]],4,0)</f>
        <v>5</v>
      </c>
      <c r="M954" s="10" t="str">
        <f>_xlfn.TEXTJOIN(CHAR(10), TRUE, ,Merge1[[#This Row],[제품명]],Merge1[[#This Row],[오더번호]],Merge1[[#This Row],[제조번호]],Merge1[[#This Row],[지시수량]])</f>
        <v>트로돈주50MG 50A
1015471
A002916
2000</v>
      </c>
    </row>
    <row r="955" spans="1:13" ht="54" x14ac:dyDescent="0.25">
      <c r="A955" t="s">
        <v>587</v>
      </c>
      <c r="B955" t="s">
        <v>569</v>
      </c>
      <c r="C955" t="s">
        <v>594</v>
      </c>
      <c r="D955" t="s">
        <v>150</v>
      </c>
      <c r="E955" t="s">
        <v>151</v>
      </c>
      <c r="F955" t="s">
        <v>595</v>
      </c>
      <c r="G955">
        <v>90</v>
      </c>
      <c r="H955" t="s">
        <v>145</v>
      </c>
      <c r="I955" t="s">
        <v>602</v>
      </c>
      <c r="J955">
        <v>2000</v>
      </c>
      <c r="K955">
        <v>10</v>
      </c>
      <c r="L955">
        <f>VLOOKUP(Merge1[[#This Row],[제품코드]],공정중_우선순위[[제품코드]:[우선순위]],4,0)</f>
        <v>5</v>
      </c>
      <c r="M955" s="10" t="str">
        <f>_xlfn.TEXTJOIN(CHAR(10), TRUE, ,Merge1[[#This Row],[제품명]],Merge1[[#This Row],[오더번호]],Merge1[[#This Row],[제조번호]],Merge1[[#This Row],[지시수량]])</f>
        <v>트로돈주50MG 50A
1015472
A002917
2000</v>
      </c>
    </row>
    <row r="956" spans="1:13" ht="54" x14ac:dyDescent="0.25">
      <c r="A956" t="s">
        <v>587</v>
      </c>
      <c r="B956" t="s">
        <v>569</v>
      </c>
      <c r="C956" t="s">
        <v>597</v>
      </c>
      <c r="D956" t="s">
        <v>150</v>
      </c>
      <c r="E956" t="s">
        <v>151</v>
      </c>
      <c r="F956" t="s">
        <v>598</v>
      </c>
      <c r="G956">
        <v>90</v>
      </c>
      <c r="H956" t="s">
        <v>145</v>
      </c>
      <c r="I956" t="s">
        <v>602</v>
      </c>
      <c r="J956">
        <v>2000</v>
      </c>
      <c r="K956">
        <v>10</v>
      </c>
      <c r="L956">
        <f>VLOOKUP(Merge1[[#This Row],[제품코드]],공정중_우선순위[[제품코드]:[우선순위]],4,0)</f>
        <v>5</v>
      </c>
      <c r="M956" s="10" t="str">
        <f>_xlfn.TEXTJOIN(CHAR(10), TRUE, ,Merge1[[#This Row],[제품명]],Merge1[[#This Row],[오더번호]],Merge1[[#This Row],[제조번호]],Merge1[[#This Row],[지시수량]])</f>
        <v>트로돈주50MG 50A
1015473
A002918
2000</v>
      </c>
    </row>
    <row r="957" spans="1:13" ht="54" x14ac:dyDescent="0.25">
      <c r="A957" t="s">
        <v>587</v>
      </c>
      <c r="B957" t="s">
        <v>569</v>
      </c>
      <c r="C957" t="s">
        <v>599</v>
      </c>
      <c r="D957" t="s">
        <v>150</v>
      </c>
      <c r="E957" t="s">
        <v>151</v>
      </c>
      <c r="F957" t="s">
        <v>600</v>
      </c>
      <c r="G957">
        <v>90</v>
      </c>
      <c r="H957" t="s">
        <v>145</v>
      </c>
      <c r="I957" t="s">
        <v>602</v>
      </c>
      <c r="J957">
        <v>2000</v>
      </c>
      <c r="K957">
        <v>10</v>
      </c>
      <c r="L957">
        <f>VLOOKUP(Merge1[[#This Row],[제품코드]],공정중_우선순위[[제품코드]:[우선순위]],4,0)</f>
        <v>5</v>
      </c>
      <c r="M957" s="10" t="str">
        <f>_xlfn.TEXTJOIN(CHAR(10), TRUE, ,Merge1[[#This Row],[제품명]],Merge1[[#This Row],[오더번호]],Merge1[[#This Row],[제조번호]],Merge1[[#This Row],[지시수량]])</f>
        <v>트로돈주50MG 50A
1015561
A002940
2000</v>
      </c>
    </row>
    <row r="958" spans="1:13" ht="54" x14ac:dyDescent="0.25">
      <c r="A958" t="s">
        <v>587</v>
      </c>
      <c r="B958" t="s">
        <v>569</v>
      </c>
      <c r="C958" t="s">
        <v>584</v>
      </c>
      <c r="D958" t="s">
        <v>150</v>
      </c>
      <c r="E958" t="s">
        <v>151</v>
      </c>
      <c r="F958" t="s">
        <v>585</v>
      </c>
      <c r="G958">
        <v>90</v>
      </c>
      <c r="H958" t="s">
        <v>145</v>
      </c>
      <c r="I958" t="s">
        <v>602</v>
      </c>
      <c r="J958">
        <v>2000</v>
      </c>
      <c r="K958">
        <v>10</v>
      </c>
      <c r="L958">
        <f>VLOOKUP(Merge1[[#This Row],[제품코드]],공정중_우선순위[[제품코드]:[우선순위]],4,0)</f>
        <v>5</v>
      </c>
      <c r="M958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959" spans="1:13" ht="54" x14ac:dyDescent="0.25">
      <c r="A959" t="s">
        <v>587</v>
      </c>
      <c r="B959" t="s">
        <v>569</v>
      </c>
      <c r="C959" t="s">
        <v>580</v>
      </c>
      <c r="D959" t="s">
        <v>150</v>
      </c>
      <c r="E959" t="s">
        <v>151</v>
      </c>
      <c r="F959" t="s">
        <v>581</v>
      </c>
      <c r="G959">
        <v>90</v>
      </c>
      <c r="H959" t="s">
        <v>145</v>
      </c>
      <c r="I959" t="s">
        <v>602</v>
      </c>
      <c r="J959">
        <v>2000</v>
      </c>
      <c r="K959">
        <v>10</v>
      </c>
      <c r="L959">
        <f>VLOOKUP(Merge1[[#This Row],[제품코드]],공정중_우선순위[[제품코드]:[우선순위]],4,0)</f>
        <v>5</v>
      </c>
      <c r="M959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960" spans="1:13" ht="54" x14ac:dyDescent="0.25">
      <c r="A960" t="s">
        <v>587</v>
      </c>
      <c r="B960" t="s">
        <v>569</v>
      </c>
      <c r="C960" t="s">
        <v>570</v>
      </c>
      <c r="D960" t="s">
        <v>150</v>
      </c>
      <c r="E960" t="s">
        <v>151</v>
      </c>
      <c r="F960" t="s">
        <v>571</v>
      </c>
      <c r="G960">
        <v>90</v>
      </c>
      <c r="H960" t="s">
        <v>145</v>
      </c>
      <c r="I960" t="s">
        <v>602</v>
      </c>
      <c r="J960">
        <v>2000</v>
      </c>
      <c r="K960">
        <v>10</v>
      </c>
      <c r="L960">
        <f>VLOOKUP(Merge1[[#This Row],[제품코드]],공정중_우선순위[[제품코드]:[우선순위]],4,0)</f>
        <v>5</v>
      </c>
      <c r="M960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961" spans="1:13" ht="54" x14ac:dyDescent="0.25">
      <c r="A961" t="s">
        <v>587</v>
      </c>
      <c r="B961" t="s">
        <v>569</v>
      </c>
      <c r="C961" t="s">
        <v>573</v>
      </c>
      <c r="D961" t="s">
        <v>150</v>
      </c>
      <c r="E961" t="s">
        <v>151</v>
      </c>
      <c r="F961" t="s">
        <v>574</v>
      </c>
      <c r="G961">
        <v>90</v>
      </c>
      <c r="H961" t="s">
        <v>145</v>
      </c>
      <c r="I961" t="s">
        <v>602</v>
      </c>
      <c r="J961">
        <v>2000</v>
      </c>
      <c r="K961">
        <v>10</v>
      </c>
      <c r="L961">
        <f>VLOOKUP(Merge1[[#This Row],[제품코드]],공정중_우선순위[[제품코드]:[우선순위]],4,0)</f>
        <v>5</v>
      </c>
      <c r="M961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962" spans="1:13" ht="54" x14ac:dyDescent="0.25">
      <c r="A962" t="s">
        <v>587</v>
      </c>
      <c r="B962" t="s">
        <v>569</v>
      </c>
      <c r="C962" t="s">
        <v>575</v>
      </c>
      <c r="D962" t="s">
        <v>150</v>
      </c>
      <c r="E962" t="s">
        <v>151</v>
      </c>
      <c r="F962" t="s">
        <v>576</v>
      </c>
      <c r="G962">
        <v>90</v>
      </c>
      <c r="H962" t="s">
        <v>145</v>
      </c>
      <c r="I962" t="s">
        <v>602</v>
      </c>
      <c r="J962">
        <v>2000</v>
      </c>
      <c r="K962">
        <v>10</v>
      </c>
      <c r="L962">
        <f>VLOOKUP(Merge1[[#This Row],[제품코드]],공정중_우선순위[[제품코드]:[우선순위]],4,0)</f>
        <v>5</v>
      </c>
      <c r="M962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963" spans="1:13" ht="54" x14ac:dyDescent="0.25">
      <c r="A963" t="s">
        <v>587</v>
      </c>
      <c r="B963" t="s">
        <v>569</v>
      </c>
      <c r="C963" t="s">
        <v>577</v>
      </c>
      <c r="D963" t="s">
        <v>150</v>
      </c>
      <c r="E963" t="s">
        <v>151</v>
      </c>
      <c r="F963" t="s">
        <v>578</v>
      </c>
      <c r="G963">
        <v>90</v>
      </c>
      <c r="H963" t="s">
        <v>145</v>
      </c>
      <c r="I963" t="s">
        <v>602</v>
      </c>
      <c r="J963">
        <v>2000</v>
      </c>
      <c r="K963">
        <v>10</v>
      </c>
      <c r="L963">
        <f>VLOOKUP(Merge1[[#This Row],[제품코드]],공정중_우선순위[[제품코드]:[우선순위]],4,0)</f>
        <v>5</v>
      </c>
      <c r="M963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964" spans="1:13" ht="54" x14ac:dyDescent="0.25">
      <c r="A964" t="s">
        <v>587</v>
      </c>
      <c r="B964" t="s">
        <v>569</v>
      </c>
      <c r="C964" t="s">
        <v>589</v>
      </c>
      <c r="D964" t="s">
        <v>150</v>
      </c>
      <c r="E964" t="s">
        <v>151</v>
      </c>
      <c r="F964" t="s">
        <v>590</v>
      </c>
      <c r="G964">
        <v>90</v>
      </c>
      <c r="H964" t="s">
        <v>145</v>
      </c>
      <c r="I964" t="s">
        <v>601</v>
      </c>
      <c r="J964">
        <v>2000</v>
      </c>
      <c r="K964">
        <v>8</v>
      </c>
      <c r="L964">
        <f>VLOOKUP(Merge1[[#This Row],[제품코드]],공정중_우선순위[[제품코드]:[우선순위]],4,0)</f>
        <v>5</v>
      </c>
      <c r="M964" s="10" t="str">
        <f>_xlfn.TEXTJOIN(CHAR(10), TRUE, ,Merge1[[#This Row],[제품명]],Merge1[[#This Row],[오더번호]],Merge1[[#This Row],[제조번호]],Merge1[[#This Row],[지시수량]])</f>
        <v>트로돈주50MG 50A
1015470
A002915
2000</v>
      </c>
    </row>
    <row r="965" spans="1:13" ht="54" x14ac:dyDescent="0.25">
      <c r="A965" t="s">
        <v>587</v>
      </c>
      <c r="B965" t="s">
        <v>569</v>
      </c>
      <c r="C965" t="s">
        <v>592</v>
      </c>
      <c r="D965" t="s">
        <v>150</v>
      </c>
      <c r="E965" t="s">
        <v>151</v>
      </c>
      <c r="F965" t="s">
        <v>593</v>
      </c>
      <c r="G965">
        <v>90</v>
      </c>
      <c r="H965" t="s">
        <v>145</v>
      </c>
      <c r="I965" t="s">
        <v>601</v>
      </c>
      <c r="J965">
        <v>2000</v>
      </c>
      <c r="K965">
        <v>8</v>
      </c>
      <c r="L965">
        <f>VLOOKUP(Merge1[[#This Row],[제품코드]],공정중_우선순위[[제품코드]:[우선순위]],4,0)</f>
        <v>5</v>
      </c>
      <c r="M965" s="10" t="str">
        <f>_xlfn.TEXTJOIN(CHAR(10), TRUE, ,Merge1[[#This Row],[제품명]],Merge1[[#This Row],[오더번호]],Merge1[[#This Row],[제조번호]],Merge1[[#This Row],[지시수량]])</f>
        <v>트로돈주50MG 50A
1015471
A002916
2000</v>
      </c>
    </row>
    <row r="966" spans="1:13" ht="54" x14ac:dyDescent="0.25">
      <c r="A966" t="s">
        <v>587</v>
      </c>
      <c r="B966" t="s">
        <v>569</v>
      </c>
      <c r="C966" t="s">
        <v>594</v>
      </c>
      <c r="D966" t="s">
        <v>150</v>
      </c>
      <c r="E966" t="s">
        <v>151</v>
      </c>
      <c r="F966" t="s">
        <v>595</v>
      </c>
      <c r="G966">
        <v>90</v>
      </c>
      <c r="H966" t="s">
        <v>145</v>
      </c>
      <c r="I966" t="s">
        <v>602</v>
      </c>
      <c r="J966">
        <v>2000</v>
      </c>
      <c r="K966">
        <v>8</v>
      </c>
      <c r="L966">
        <f>VLOOKUP(Merge1[[#This Row],[제품코드]],공정중_우선순위[[제품코드]:[우선순위]],4,0)</f>
        <v>5</v>
      </c>
      <c r="M966" s="10" t="str">
        <f>_xlfn.TEXTJOIN(CHAR(10), TRUE, ,Merge1[[#This Row],[제품명]],Merge1[[#This Row],[오더번호]],Merge1[[#This Row],[제조번호]],Merge1[[#This Row],[지시수량]])</f>
        <v>트로돈주50MG 50A
1015472
A002917
2000</v>
      </c>
    </row>
    <row r="967" spans="1:13" ht="54" x14ac:dyDescent="0.25">
      <c r="A967" t="s">
        <v>587</v>
      </c>
      <c r="B967" t="s">
        <v>569</v>
      </c>
      <c r="C967" t="s">
        <v>597</v>
      </c>
      <c r="D967" t="s">
        <v>150</v>
      </c>
      <c r="E967" t="s">
        <v>151</v>
      </c>
      <c r="F967" t="s">
        <v>598</v>
      </c>
      <c r="G967">
        <v>90</v>
      </c>
      <c r="H967" t="s">
        <v>145</v>
      </c>
      <c r="I967" t="s">
        <v>602</v>
      </c>
      <c r="J967">
        <v>2000</v>
      </c>
      <c r="K967">
        <v>8</v>
      </c>
      <c r="L967">
        <f>VLOOKUP(Merge1[[#This Row],[제품코드]],공정중_우선순위[[제품코드]:[우선순위]],4,0)</f>
        <v>5</v>
      </c>
      <c r="M967" s="10" t="str">
        <f>_xlfn.TEXTJOIN(CHAR(10), TRUE, ,Merge1[[#This Row],[제품명]],Merge1[[#This Row],[오더번호]],Merge1[[#This Row],[제조번호]],Merge1[[#This Row],[지시수량]])</f>
        <v>트로돈주50MG 50A
1015473
A002918
2000</v>
      </c>
    </row>
    <row r="968" spans="1:13" ht="54" x14ac:dyDescent="0.25">
      <c r="A968" t="s">
        <v>587</v>
      </c>
      <c r="B968" t="s">
        <v>569</v>
      </c>
      <c r="C968" t="s">
        <v>599</v>
      </c>
      <c r="D968" t="s">
        <v>150</v>
      </c>
      <c r="E968" t="s">
        <v>151</v>
      </c>
      <c r="F968" t="s">
        <v>600</v>
      </c>
      <c r="G968">
        <v>90</v>
      </c>
      <c r="H968" t="s">
        <v>145</v>
      </c>
      <c r="I968" t="s">
        <v>602</v>
      </c>
      <c r="J968">
        <v>2000</v>
      </c>
      <c r="K968">
        <v>8</v>
      </c>
      <c r="L968">
        <f>VLOOKUP(Merge1[[#This Row],[제품코드]],공정중_우선순위[[제품코드]:[우선순위]],4,0)</f>
        <v>5</v>
      </c>
      <c r="M968" s="10" t="str">
        <f>_xlfn.TEXTJOIN(CHAR(10), TRUE, ,Merge1[[#This Row],[제품명]],Merge1[[#This Row],[오더번호]],Merge1[[#This Row],[제조번호]],Merge1[[#This Row],[지시수량]])</f>
        <v>트로돈주50MG 50A
1015561
A002940
2000</v>
      </c>
    </row>
    <row r="969" spans="1:13" ht="54" x14ac:dyDescent="0.25">
      <c r="A969" t="s">
        <v>587</v>
      </c>
      <c r="B969" t="s">
        <v>569</v>
      </c>
      <c r="C969" t="s">
        <v>584</v>
      </c>
      <c r="D969" t="s">
        <v>150</v>
      </c>
      <c r="E969" t="s">
        <v>151</v>
      </c>
      <c r="F969" t="s">
        <v>585</v>
      </c>
      <c r="G969">
        <v>90</v>
      </c>
      <c r="H969" t="s">
        <v>145</v>
      </c>
      <c r="I969" t="s">
        <v>602</v>
      </c>
      <c r="J969">
        <v>2000</v>
      </c>
      <c r="K969">
        <v>8</v>
      </c>
      <c r="L969">
        <f>VLOOKUP(Merge1[[#This Row],[제품코드]],공정중_우선순위[[제품코드]:[우선순위]],4,0)</f>
        <v>5</v>
      </c>
      <c r="M969" s="10" t="str">
        <f>_xlfn.TEXTJOIN(CHAR(10), TRUE, ,Merge1[[#This Row],[제품명]],Merge1[[#This Row],[오더번호]],Merge1[[#This Row],[제조번호]],Merge1[[#This Row],[지시수량]])</f>
        <v>트로돈주50MG 50A
1015562
A002941
2000</v>
      </c>
    </row>
    <row r="970" spans="1:13" ht="54" x14ac:dyDescent="0.25">
      <c r="A970" t="s">
        <v>587</v>
      </c>
      <c r="B970" t="s">
        <v>569</v>
      </c>
      <c r="C970" t="s">
        <v>580</v>
      </c>
      <c r="D970" t="s">
        <v>150</v>
      </c>
      <c r="E970" t="s">
        <v>151</v>
      </c>
      <c r="F970" t="s">
        <v>581</v>
      </c>
      <c r="G970">
        <v>90</v>
      </c>
      <c r="H970" t="s">
        <v>145</v>
      </c>
      <c r="I970" t="s">
        <v>602</v>
      </c>
      <c r="J970">
        <v>2000</v>
      </c>
      <c r="K970">
        <v>8</v>
      </c>
      <c r="L970">
        <f>VLOOKUP(Merge1[[#This Row],[제품코드]],공정중_우선순위[[제품코드]:[우선순위]],4,0)</f>
        <v>5</v>
      </c>
      <c r="M970" s="10" t="str">
        <f>_xlfn.TEXTJOIN(CHAR(10), TRUE, ,Merge1[[#This Row],[제품명]],Merge1[[#This Row],[오더번호]],Merge1[[#This Row],[제조번호]],Merge1[[#This Row],[지시수량]])</f>
        <v>트로돈주50MG 50A
1015563
A002942
2000</v>
      </c>
    </row>
    <row r="971" spans="1:13" ht="54" x14ac:dyDescent="0.25">
      <c r="A971" t="s">
        <v>587</v>
      </c>
      <c r="B971" t="s">
        <v>569</v>
      </c>
      <c r="C971" t="s">
        <v>570</v>
      </c>
      <c r="D971" t="s">
        <v>150</v>
      </c>
      <c r="E971" t="s">
        <v>151</v>
      </c>
      <c r="F971" t="s">
        <v>571</v>
      </c>
      <c r="G971">
        <v>90</v>
      </c>
      <c r="H971" t="s">
        <v>145</v>
      </c>
      <c r="I971" t="s">
        <v>602</v>
      </c>
      <c r="J971">
        <v>2000</v>
      </c>
      <c r="K971">
        <v>8</v>
      </c>
      <c r="L971">
        <f>VLOOKUP(Merge1[[#This Row],[제품코드]],공정중_우선순위[[제품코드]:[우선순위]],4,0)</f>
        <v>5</v>
      </c>
      <c r="M971" s="10" t="str">
        <f>_xlfn.TEXTJOIN(CHAR(10), TRUE, ,Merge1[[#This Row],[제품명]],Merge1[[#This Row],[오더번호]],Merge1[[#This Row],[제조번호]],Merge1[[#This Row],[지시수량]])</f>
        <v>트로돈주50MG 50A
1015564
A002943
2000</v>
      </c>
    </row>
    <row r="972" spans="1:13" ht="54" x14ac:dyDescent="0.25">
      <c r="A972" t="s">
        <v>587</v>
      </c>
      <c r="B972" t="s">
        <v>569</v>
      </c>
      <c r="C972" t="s">
        <v>573</v>
      </c>
      <c r="D972" t="s">
        <v>150</v>
      </c>
      <c r="E972" t="s">
        <v>151</v>
      </c>
      <c r="F972" t="s">
        <v>574</v>
      </c>
      <c r="G972">
        <v>90</v>
      </c>
      <c r="H972" t="s">
        <v>145</v>
      </c>
      <c r="I972" t="s">
        <v>602</v>
      </c>
      <c r="J972">
        <v>2000</v>
      </c>
      <c r="K972">
        <v>8</v>
      </c>
      <c r="L972">
        <f>VLOOKUP(Merge1[[#This Row],[제품코드]],공정중_우선순위[[제품코드]:[우선순위]],4,0)</f>
        <v>5</v>
      </c>
      <c r="M972" s="10" t="str">
        <f>_xlfn.TEXTJOIN(CHAR(10), TRUE, ,Merge1[[#This Row],[제품명]],Merge1[[#This Row],[오더번호]],Merge1[[#This Row],[제조번호]],Merge1[[#This Row],[지시수량]])</f>
        <v>트로돈주50MG 50A
1015565
A002944
2000</v>
      </c>
    </row>
    <row r="973" spans="1:13" ht="54" x14ac:dyDescent="0.25">
      <c r="A973" t="s">
        <v>587</v>
      </c>
      <c r="B973" t="s">
        <v>569</v>
      </c>
      <c r="C973" t="s">
        <v>575</v>
      </c>
      <c r="D973" t="s">
        <v>150</v>
      </c>
      <c r="E973" t="s">
        <v>151</v>
      </c>
      <c r="F973" t="s">
        <v>576</v>
      </c>
      <c r="G973">
        <v>90</v>
      </c>
      <c r="H973" t="s">
        <v>145</v>
      </c>
      <c r="I973" t="s">
        <v>602</v>
      </c>
      <c r="J973">
        <v>2000</v>
      </c>
      <c r="K973">
        <v>8</v>
      </c>
      <c r="L973">
        <f>VLOOKUP(Merge1[[#This Row],[제품코드]],공정중_우선순위[[제품코드]:[우선순위]],4,0)</f>
        <v>5</v>
      </c>
      <c r="M973" s="10" t="str">
        <f>_xlfn.TEXTJOIN(CHAR(10), TRUE, ,Merge1[[#This Row],[제품명]],Merge1[[#This Row],[오더번호]],Merge1[[#This Row],[제조번호]],Merge1[[#This Row],[지시수량]])</f>
        <v>트로돈주50MG 50A
1015566
A002945
2000</v>
      </c>
    </row>
    <row r="974" spans="1:13" ht="54" x14ac:dyDescent="0.25">
      <c r="A974" t="s">
        <v>587</v>
      </c>
      <c r="B974" t="s">
        <v>569</v>
      </c>
      <c r="C974" t="s">
        <v>577</v>
      </c>
      <c r="D974" t="s">
        <v>150</v>
      </c>
      <c r="E974" t="s">
        <v>151</v>
      </c>
      <c r="F974" t="s">
        <v>578</v>
      </c>
      <c r="G974">
        <v>90</v>
      </c>
      <c r="H974" t="s">
        <v>145</v>
      </c>
      <c r="I974" t="s">
        <v>602</v>
      </c>
      <c r="J974">
        <v>2000</v>
      </c>
      <c r="K974">
        <v>8</v>
      </c>
      <c r="L974">
        <f>VLOOKUP(Merge1[[#This Row],[제품코드]],공정중_우선순위[[제품코드]:[우선순위]],4,0)</f>
        <v>5</v>
      </c>
      <c r="M974" s="10" t="str">
        <f>_xlfn.TEXTJOIN(CHAR(10), TRUE, ,Merge1[[#This Row],[제품명]],Merge1[[#This Row],[오더번호]],Merge1[[#This Row],[제조번호]],Merge1[[#This Row],[지시수량]])</f>
        <v>트로돈주50MG 50A
1015567
A002946
2000</v>
      </c>
    </row>
    <row r="975" spans="1:13" ht="67.5" x14ac:dyDescent="0.25">
      <c r="A975" t="s">
        <v>587</v>
      </c>
      <c r="B975" t="s">
        <v>635</v>
      </c>
      <c r="C975" t="s">
        <v>716</v>
      </c>
      <c r="D975" t="s">
        <v>183</v>
      </c>
      <c r="E975" t="s">
        <v>184</v>
      </c>
      <c r="F975" t="s">
        <v>717</v>
      </c>
      <c r="G975">
        <v>70</v>
      </c>
      <c r="H975" t="s">
        <v>131</v>
      </c>
      <c r="I975" t="s">
        <v>606</v>
      </c>
      <c r="J975">
        <v>6860</v>
      </c>
      <c r="K975">
        <v>8</v>
      </c>
      <c r="L975">
        <f>VLOOKUP(Merge1[[#This Row],[제품코드]],공정중_우선순위[[제품코드]:[우선순위]],4,0)</f>
        <v>6</v>
      </c>
      <c r="M975" s="10" t="str">
        <f>_xlfn.TEXTJOIN(CHAR(10), TRUE, ,Merge1[[#This Row],[제품명]],Merge1[[#This Row],[오더번호]],Merge1[[#This Row],[제조번호]],Merge1[[#This Row],[지시수량]])</f>
        <v>제이비피플라몬주 10A (파마리서치)
1015660
25005A
6860</v>
      </c>
    </row>
    <row r="976" spans="1:13" ht="67.5" x14ac:dyDescent="0.25">
      <c r="A976" t="s">
        <v>587</v>
      </c>
      <c r="B976" t="s">
        <v>635</v>
      </c>
      <c r="C976" t="s">
        <v>714</v>
      </c>
      <c r="D976" t="s">
        <v>183</v>
      </c>
      <c r="E976" t="s">
        <v>184</v>
      </c>
      <c r="F976" t="s">
        <v>715</v>
      </c>
      <c r="G976">
        <v>70</v>
      </c>
      <c r="H976" t="s">
        <v>131</v>
      </c>
      <c r="I976" t="s">
        <v>606</v>
      </c>
      <c r="J976">
        <v>7041</v>
      </c>
      <c r="K976">
        <v>8</v>
      </c>
      <c r="L976">
        <f>VLOOKUP(Merge1[[#This Row],[제품코드]],공정중_우선순위[[제품코드]:[우선순위]],4,0)</f>
        <v>6</v>
      </c>
      <c r="M976" s="10" t="str">
        <f>_xlfn.TEXTJOIN(CHAR(10), TRUE, ,Merge1[[#This Row],[제품명]],Merge1[[#This Row],[오더번호]],Merge1[[#This Row],[제조번호]],Merge1[[#This Row],[지시수량]])</f>
        <v>제이비피플라몬주 10A (파마리서치)
1015661
25006A
7041</v>
      </c>
    </row>
    <row r="977" spans="1:13" ht="67.5" x14ac:dyDescent="0.25">
      <c r="A977" t="s">
        <v>587</v>
      </c>
      <c r="B977" t="s">
        <v>635</v>
      </c>
      <c r="C977" t="s">
        <v>716</v>
      </c>
      <c r="D977" t="s">
        <v>183</v>
      </c>
      <c r="E977" t="s">
        <v>184</v>
      </c>
      <c r="F977" t="s">
        <v>717</v>
      </c>
      <c r="G977">
        <v>80</v>
      </c>
      <c r="H977" t="s">
        <v>139</v>
      </c>
      <c r="I977" t="s">
        <v>596</v>
      </c>
      <c r="J977">
        <v>6860</v>
      </c>
      <c r="K977">
        <v>8</v>
      </c>
      <c r="L977">
        <f>VLOOKUP(Merge1[[#This Row],[제품코드]],공정중_우선순위[[제품코드]:[우선순위]],4,0)</f>
        <v>6</v>
      </c>
      <c r="M977" s="10" t="str">
        <f>_xlfn.TEXTJOIN(CHAR(10), TRUE, ,Merge1[[#This Row],[제품명]],Merge1[[#This Row],[오더번호]],Merge1[[#This Row],[제조번호]],Merge1[[#This Row],[지시수량]])</f>
        <v>제이비피플라몬주 10A (파마리서치)
1015660
25005A
6860</v>
      </c>
    </row>
    <row r="978" spans="1:13" ht="67.5" x14ac:dyDescent="0.25">
      <c r="A978" t="s">
        <v>587</v>
      </c>
      <c r="B978" t="s">
        <v>635</v>
      </c>
      <c r="C978" t="s">
        <v>714</v>
      </c>
      <c r="D978" t="s">
        <v>183</v>
      </c>
      <c r="E978" t="s">
        <v>184</v>
      </c>
      <c r="F978" t="s">
        <v>715</v>
      </c>
      <c r="G978">
        <v>80</v>
      </c>
      <c r="H978" t="s">
        <v>139</v>
      </c>
      <c r="I978" t="s">
        <v>596</v>
      </c>
      <c r="J978">
        <v>7041</v>
      </c>
      <c r="K978">
        <v>8</v>
      </c>
      <c r="L978">
        <f>VLOOKUP(Merge1[[#This Row],[제품코드]],공정중_우선순위[[제품코드]:[우선순위]],4,0)</f>
        <v>6</v>
      </c>
      <c r="M978" s="10" t="str">
        <f>_xlfn.TEXTJOIN(CHAR(10), TRUE, ,Merge1[[#This Row],[제품명]],Merge1[[#This Row],[오더번호]],Merge1[[#This Row],[제조번호]],Merge1[[#This Row],[지시수량]])</f>
        <v>제이비피플라몬주 10A (파마리서치)
1015661
25006A
7041</v>
      </c>
    </row>
    <row r="979" spans="1:13" ht="67.5" x14ac:dyDescent="0.25">
      <c r="A979" t="s">
        <v>587</v>
      </c>
      <c r="B979" t="s">
        <v>635</v>
      </c>
      <c r="C979" t="s">
        <v>716</v>
      </c>
      <c r="D979" t="s">
        <v>183</v>
      </c>
      <c r="E979" t="s">
        <v>184</v>
      </c>
      <c r="F979" t="s">
        <v>717</v>
      </c>
      <c r="G979">
        <v>100</v>
      </c>
      <c r="H979" t="s">
        <v>141</v>
      </c>
      <c r="I979" t="s">
        <v>718</v>
      </c>
      <c r="J979">
        <v>6860</v>
      </c>
      <c r="K979">
        <v>16</v>
      </c>
      <c r="L979">
        <f>VLOOKUP(Merge1[[#This Row],[제품코드]],공정중_우선순위[[제품코드]:[우선순위]],4,0)</f>
        <v>6</v>
      </c>
      <c r="M979" s="10" t="str">
        <f>_xlfn.TEXTJOIN(CHAR(10), TRUE, ,Merge1[[#This Row],[제품명]],Merge1[[#This Row],[오더번호]],Merge1[[#This Row],[제조번호]],Merge1[[#This Row],[지시수량]])</f>
        <v>제이비피플라몬주 10A (파마리서치)
1015660
25005A
6860</v>
      </c>
    </row>
    <row r="980" spans="1:13" ht="67.5" x14ac:dyDescent="0.25">
      <c r="A980" t="s">
        <v>587</v>
      </c>
      <c r="B980" t="s">
        <v>635</v>
      </c>
      <c r="C980" t="s">
        <v>714</v>
      </c>
      <c r="D980" t="s">
        <v>183</v>
      </c>
      <c r="E980" t="s">
        <v>184</v>
      </c>
      <c r="F980" t="s">
        <v>715</v>
      </c>
      <c r="G980">
        <v>100</v>
      </c>
      <c r="H980" t="s">
        <v>141</v>
      </c>
      <c r="I980" t="s">
        <v>718</v>
      </c>
      <c r="J980">
        <v>7041</v>
      </c>
      <c r="K980">
        <v>16</v>
      </c>
      <c r="L980">
        <f>VLOOKUP(Merge1[[#This Row],[제품코드]],공정중_우선순위[[제품코드]:[우선순위]],4,0)</f>
        <v>6</v>
      </c>
      <c r="M980" s="10" t="str">
        <f>_xlfn.TEXTJOIN(CHAR(10), TRUE, ,Merge1[[#This Row],[제품명]],Merge1[[#This Row],[오더번호]],Merge1[[#This Row],[제조번호]],Merge1[[#This Row],[지시수량]])</f>
        <v>제이비피플라몬주 10A (파마리서치)
1015661
25006A
7041</v>
      </c>
    </row>
    <row r="981" spans="1:13" ht="54" x14ac:dyDescent="0.25">
      <c r="A981" t="s">
        <v>587</v>
      </c>
      <c r="B981" t="s">
        <v>635</v>
      </c>
      <c r="C981" t="s">
        <v>645</v>
      </c>
      <c r="D981" t="s">
        <v>165</v>
      </c>
      <c r="E981" t="s">
        <v>166</v>
      </c>
      <c r="F981" t="s">
        <v>646</v>
      </c>
      <c r="G981">
        <v>70</v>
      </c>
      <c r="H981" t="s">
        <v>131</v>
      </c>
      <c r="I981" t="s">
        <v>606</v>
      </c>
      <c r="J981">
        <v>4000</v>
      </c>
      <c r="K981">
        <v>20</v>
      </c>
      <c r="L981">
        <f>VLOOKUP(Merge1[[#This Row],[제품코드]],공정중_우선순위[[제품코드]:[우선순위]],4,0)</f>
        <v>7</v>
      </c>
      <c r="M981" s="10" t="str">
        <f>_xlfn.TEXTJOIN(CHAR(10), TRUE, ,Merge1[[#This Row],[제품명]],Merge1[[#This Row],[오더번호]],Merge1[[#This Row],[제조번호]],Merge1[[#This Row],[지시수량]])</f>
        <v>에취투주200MG 50A (중외제약)
1015467
25011
4000</v>
      </c>
    </row>
    <row r="982" spans="1:13" ht="54" x14ac:dyDescent="0.25">
      <c r="A982" t="s">
        <v>587</v>
      </c>
      <c r="B982" t="s">
        <v>635</v>
      </c>
      <c r="C982" t="s">
        <v>647</v>
      </c>
      <c r="D982" t="s">
        <v>165</v>
      </c>
      <c r="E982" t="s">
        <v>166</v>
      </c>
      <c r="F982" t="s">
        <v>648</v>
      </c>
      <c r="G982">
        <v>70</v>
      </c>
      <c r="H982" t="s">
        <v>131</v>
      </c>
      <c r="I982" t="s">
        <v>606</v>
      </c>
      <c r="J982">
        <v>4000</v>
      </c>
      <c r="K982">
        <v>20</v>
      </c>
      <c r="L982">
        <f>VLOOKUP(Merge1[[#This Row],[제품코드]],공정중_우선순위[[제품코드]:[우선순위]],4,0)</f>
        <v>7</v>
      </c>
      <c r="M982" s="10" t="str">
        <f>_xlfn.TEXTJOIN(CHAR(10), TRUE, ,Merge1[[#This Row],[제품명]],Merge1[[#This Row],[오더번호]],Merge1[[#This Row],[제조번호]],Merge1[[#This Row],[지시수량]])</f>
        <v>에취투주200MG 50A (중외제약)
1015611
25012
4000</v>
      </c>
    </row>
    <row r="983" spans="1:13" ht="54" x14ac:dyDescent="0.25">
      <c r="A983" t="s">
        <v>587</v>
      </c>
      <c r="B983" t="s">
        <v>635</v>
      </c>
      <c r="C983" t="s">
        <v>636</v>
      </c>
      <c r="D983" t="s">
        <v>165</v>
      </c>
      <c r="E983" t="s">
        <v>166</v>
      </c>
      <c r="F983" t="s">
        <v>637</v>
      </c>
      <c r="G983">
        <v>70</v>
      </c>
      <c r="H983" t="s">
        <v>131</v>
      </c>
      <c r="I983" t="s">
        <v>606</v>
      </c>
      <c r="J983">
        <v>4000</v>
      </c>
      <c r="K983">
        <v>20</v>
      </c>
      <c r="L983">
        <f>VLOOKUP(Merge1[[#This Row],[제품코드]],공정중_우선순위[[제품코드]:[우선순위]],4,0)</f>
        <v>7</v>
      </c>
      <c r="M983" s="10" t="str">
        <f>_xlfn.TEXTJOIN(CHAR(10), TRUE, ,Merge1[[#This Row],[제품명]],Merge1[[#This Row],[오더번호]],Merge1[[#This Row],[제조번호]],Merge1[[#This Row],[지시수량]])</f>
        <v>에취투주200MG 50A (중외제약)
1015612
25013
4000</v>
      </c>
    </row>
    <row r="984" spans="1:13" ht="54" x14ac:dyDescent="0.25">
      <c r="A984" t="s">
        <v>587</v>
      </c>
      <c r="B984" t="s">
        <v>635</v>
      </c>
      <c r="C984" t="s">
        <v>639</v>
      </c>
      <c r="D984" t="s">
        <v>165</v>
      </c>
      <c r="E984" t="s">
        <v>166</v>
      </c>
      <c r="F984" t="s">
        <v>640</v>
      </c>
      <c r="G984">
        <v>70</v>
      </c>
      <c r="H984" t="s">
        <v>131</v>
      </c>
      <c r="I984" t="s">
        <v>606</v>
      </c>
      <c r="J984">
        <v>4000</v>
      </c>
      <c r="K984">
        <v>20</v>
      </c>
      <c r="L984">
        <f>VLOOKUP(Merge1[[#This Row],[제품코드]],공정중_우선순위[[제품코드]:[우선순위]],4,0)</f>
        <v>7</v>
      </c>
      <c r="M984" s="10" t="str">
        <f>_xlfn.TEXTJOIN(CHAR(10), TRUE, ,Merge1[[#This Row],[제품명]],Merge1[[#This Row],[오더번호]],Merge1[[#This Row],[제조번호]],Merge1[[#This Row],[지시수량]])</f>
        <v>에취투주200MG 50A (중외제약)
1015613
25014
4000</v>
      </c>
    </row>
    <row r="985" spans="1:13" ht="54" x14ac:dyDescent="0.25">
      <c r="A985" t="s">
        <v>587</v>
      </c>
      <c r="B985" t="s">
        <v>635</v>
      </c>
      <c r="C985" t="s">
        <v>641</v>
      </c>
      <c r="D985" t="s">
        <v>165</v>
      </c>
      <c r="E985" t="s">
        <v>166</v>
      </c>
      <c r="F985" t="s">
        <v>642</v>
      </c>
      <c r="G985">
        <v>70</v>
      </c>
      <c r="H985" t="s">
        <v>131</v>
      </c>
      <c r="I985" t="s">
        <v>606</v>
      </c>
      <c r="J985">
        <v>4000</v>
      </c>
      <c r="K985">
        <v>20</v>
      </c>
      <c r="L985">
        <f>VLOOKUP(Merge1[[#This Row],[제품코드]],공정중_우선순위[[제품코드]:[우선순위]],4,0)</f>
        <v>7</v>
      </c>
      <c r="M985" s="10" t="str">
        <f>_xlfn.TEXTJOIN(CHAR(10), TRUE, ,Merge1[[#This Row],[제품명]],Merge1[[#This Row],[오더번호]],Merge1[[#This Row],[제조번호]],Merge1[[#This Row],[지시수량]])</f>
        <v>에취투주200MG 50A (중외제약)
1015684
25015
4000</v>
      </c>
    </row>
    <row r="986" spans="1:13" ht="54" x14ac:dyDescent="0.25">
      <c r="A986" t="s">
        <v>587</v>
      </c>
      <c r="B986" t="s">
        <v>635</v>
      </c>
      <c r="C986" t="s">
        <v>645</v>
      </c>
      <c r="D986" t="s">
        <v>165</v>
      </c>
      <c r="E986" t="s">
        <v>166</v>
      </c>
      <c r="F986" t="s">
        <v>646</v>
      </c>
      <c r="G986">
        <v>80</v>
      </c>
      <c r="H986" t="s">
        <v>139</v>
      </c>
      <c r="I986" t="s">
        <v>596</v>
      </c>
      <c r="J986">
        <v>4000</v>
      </c>
      <c r="K986">
        <v>17</v>
      </c>
      <c r="L986">
        <f>VLOOKUP(Merge1[[#This Row],[제품코드]],공정중_우선순위[[제품코드]:[우선순위]],4,0)</f>
        <v>7</v>
      </c>
      <c r="M986" s="10" t="str">
        <f>_xlfn.TEXTJOIN(CHAR(10), TRUE, ,Merge1[[#This Row],[제품명]],Merge1[[#This Row],[오더번호]],Merge1[[#This Row],[제조번호]],Merge1[[#This Row],[지시수량]])</f>
        <v>에취투주200MG 50A (중외제약)
1015467
25011
4000</v>
      </c>
    </row>
    <row r="987" spans="1:13" ht="54" x14ac:dyDescent="0.25">
      <c r="A987" t="s">
        <v>587</v>
      </c>
      <c r="B987" t="s">
        <v>635</v>
      </c>
      <c r="C987" t="s">
        <v>647</v>
      </c>
      <c r="D987" t="s">
        <v>165</v>
      </c>
      <c r="E987" t="s">
        <v>166</v>
      </c>
      <c r="F987" t="s">
        <v>648</v>
      </c>
      <c r="G987">
        <v>80</v>
      </c>
      <c r="H987" t="s">
        <v>139</v>
      </c>
      <c r="I987" t="s">
        <v>596</v>
      </c>
      <c r="J987">
        <v>4000</v>
      </c>
      <c r="K987">
        <v>17</v>
      </c>
      <c r="L987">
        <f>VLOOKUP(Merge1[[#This Row],[제품코드]],공정중_우선순위[[제품코드]:[우선순위]],4,0)</f>
        <v>7</v>
      </c>
      <c r="M987" s="10" t="str">
        <f>_xlfn.TEXTJOIN(CHAR(10), TRUE, ,Merge1[[#This Row],[제품명]],Merge1[[#This Row],[오더번호]],Merge1[[#This Row],[제조번호]],Merge1[[#This Row],[지시수량]])</f>
        <v>에취투주200MG 50A (중외제약)
1015611
25012
4000</v>
      </c>
    </row>
    <row r="988" spans="1:13" ht="54" x14ac:dyDescent="0.25">
      <c r="A988" t="s">
        <v>587</v>
      </c>
      <c r="B988" t="s">
        <v>635</v>
      </c>
      <c r="C988" t="s">
        <v>636</v>
      </c>
      <c r="D988" t="s">
        <v>165</v>
      </c>
      <c r="E988" t="s">
        <v>166</v>
      </c>
      <c r="F988" t="s">
        <v>637</v>
      </c>
      <c r="G988">
        <v>80</v>
      </c>
      <c r="H988" t="s">
        <v>139</v>
      </c>
      <c r="I988" t="s">
        <v>596</v>
      </c>
      <c r="J988">
        <v>4000</v>
      </c>
      <c r="K988">
        <v>17</v>
      </c>
      <c r="L988">
        <f>VLOOKUP(Merge1[[#This Row],[제품코드]],공정중_우선순위[[제품코드]:[우선순위]],4,0)</f>
        <v>7</v>
      </c>
      <c r="M988" s="10" t="str">
        <f>_xlfn.TEXTJOIN(CHAR(10), TRUE, ,Merge1[[#This Row],[제품명]],Merge1[[#This Row],[오더번호]],Merge1[[#This Row],[제조번호]],Merge1[[#This Row],[지시수량]])</f>
        <v>에취투주200MG 50A (중외제약)
1015612
25013
4000</v>
      </c>
    </row>
    <row r="989" spans="1:13" ht="54" x14ac:dyDescent="0.25">
      <c r="A989" t="s">
        <v>587</v>
      </c>
      <c r="B989" t="s">
        <v>635</v>
      </c>
      <c r="C989" t="s">
        <v>639</v>
      </c>
      <c r="D989" t="s">
        <v>165</v>
      </c>
      <c r="E989" t="s">
        <v>166</v>
      </c>
      <c r="F989" t="s">
        <v>640</v>
      </c>
      <c r="G989">
        <v>80</v>
      </c>
      <c r="H989" t="s">
        <v>139</v>
      </c>
      <c r="I989" t="s">
        <v>596</v>
      </c>
      <c r="J989">
        <v>4000</v>
      </c>
      <c r="K989">
        <v>17</v>
      </c>
      <c r="L989">
        <f>VLOOKUP(Merge1[[#This Row],[제품코드]],공정중_우선순위[[제품코드]:[우선순위]],4,0)</f>
        <v>7</v>
      </c>
      <c r="M989" s="10" t="str">
        <f>_xlfn.TEXTJOIN(CHAR(10), TRUE, ,Merge1[[#This Row],[제품명]],Merge1[[#This Row],[오더번호]],Merge1[[#This Row],[제조번호]],Merge1[[#This Row],[지시수량]])</f>
        <v>에취투주200MG 50A (중외제약)
1015613
25014
4000</v>
      </c>
    </row>
    <row r="990" spans="1:13" ht="54" x14ac:dyDescent="0.25">
      <c r="A990" t="s">
        <v>587</v>
      </c>
      <c r="B990" t="s">
        <v>635</v>
      </c>
      <c r="C990" t="s">
        <v>641</v>
      </c>
      <c r="D990" t="s">
        <v>165</v>
      </c>
      <c r="E990" t="s">
        <v>166</v>
      </c>
      <c r="F990" t="s">
        <v>642</v>
      </c>
      <c r="G990">
        <v>80</v>
      </c>
      <c r="H990" t="s">
        <v>139</v>
      </c>
      <c r="I990" t="s">
        <v>596</v>
      </c>
      <c r="J990">
        <v>4000</v>
      </c>
      <c r="K990">
        <v>17</v>
      </c>
      <c r="L990">
        <f>VLOOKUP(Merge1[[#This Row],[제품코드]],공정중_우선순위[[제품코드]:[우선순위]],4,0)</f>
        <v>7</v>
      </c>
      <c r="M990" s="10" t="str">
        <f>_xlfn.TEXTJOIN(CHAR(10), TRUE, ,Merge1[[#This Row],[제품명]],Merge1[[#This Row],[오더번호]],Merge1[[#This Row],[제조번호]],Merge1[[#This Row],[지시수량]])</f>
        <v>에취투주200MG 50A (중외제약)
1015684
25015
4000</v>
      </c>
    </row>
    <row r="991" spans="1:13" ht="54" x14ac:dyDescent="0.25">
      <c r="A991" t="s">
        <v>587</v>
      </c>
      <c r="B991" t="s">
        <v>635</v>
      </c>
      <c r="C991" t="s">
        <v>645</v>
      </c>
      <c r="D991" t="s">
        <v>165</v>
      </c>
      <c r="E991" t="s">
        <v>166</v>
      </c>
      <c r="F991" t="s">
        <v>646</v>
      </c>
      <c r="G991">
        <v>90</v>
      </c>
      <c r="H991" t="s">
        <v>145</v>
      </c>
      <c r="I991" t="s">
        <v>602</v>
      </c>
      <c r="J991">
        <v>4000</v>
      </c>
      <c r="K991">
        <v>17</v>
      </c>
      <c r="L991">
        <f>VLOOKUP(Merge1[[#This Row],[제품코드]],공정중_우선순위[[제품코드]:[우선순위]],4,0)</f>
        <v>7</v>
      </c>
      <c r="M991" s="10" t="str">
        <f>_xlfn.TEXTJOIN(CHAR(10), TRUE, ,Merge1[[#This Row],[제품명]],Merge1[[#This Row],[오더번호]],Merge1[[#This Row],[제조번호]],Merge1[[#This Row],[지시수량]])</f>
        <v>에취투주200MG 50A (중외제약)
1015467
25011
4000</v>
      </c>
    </row>
    <row r="992" spans="1:13" ht="54" x14ac:dyDescent="0.25">
      <c r="A992" t="s">
        <v>587</v>
      </c>
      <c r="B992" t="s">
        <v>635</v>
      </c>
      <c r="C992" t="s">
        <v>647</v>
      </c>
      <c r="D992" t="s">
        <v>165</v>
      </c>
      <c r="E992" t="s">
        <v>166</v>
      </c>
      <c r="F992" t="s">
        <v>648</v>
      </c>
      <c r="G992">
        <v>90</v>
      </c>
      <c r="H992" t="s">
        <v>145</v>
      </c>
      <c r="I992" t="s">
        <v>602</v>
      </c>
      <c r="J992">
        <v>4000</v>
      </c>
      <c r="K992">
        <v>17</v>
      </c>
      <c r="L992">
        <f>VLOOKUP(Merge1[[#This Row],[제품코드]],공정중_우선순위[[제품코드]:[우선순위]],4,0)</f>
        <v>7</v>
      </c>
      <c r="M992" s="10" t="str">
        <f>_xlfn.TEXTJOIN(CHAR(10), TRUE, ,Merge1[[#This Row],[제품명]],Merge1[[#This Row],[오더번호]],Merge1[[#This Row],[제조번호]],Merge1[[#This Row],[지시수량]])</f>
        <v>에취투주200MG 50A (중외제약)
1015611
25012
4000</v>
      </c>
    </row>
    <row r="993" spans="1:13" ht="54" x14ac:dyDescent="0.25">
      <c r="A993" t="s">
        <v>587</v>
      </c>
      <c r="B993" t="s">
        <v>635</v>
      </c>
      <c r="C993" t="s">
        <v>636</v>
      </c>
      <c r="D993" t="s">
        <v>165</v>
      </c>
      <c r="E993" t="s">
        <v>166</v>
      </c>
      <c r="F993" t="s">
        <v>637</v>
      </c>
      <c r="G993">
        <v>90</v>
      </c>
      <c r="H993" t="s">
        <v>145</v>
      </c>
      <c r="I993" t="s">
        <v>602</v>
      </c>
      <c r="J993">
        <v>4000</v>
      </c>
      <c r="K993">
        <v>17</v>
      </c>
      <c r="L993">
        <f>VLOOKUP(Merge1[[#This Row],[제품코드]],공정중_우선순위[[제품코드]:[우선순위]],4,0)</f>
        <v>7</v>
      </c>
      <c r="M993" s="10" t="str">
        <f>_xlfn.TEXTJOIN(CHAR(10), TRUE, ,Merge1[[#This Row],[제품명]],Merge1[[#This Row],[오더번호]],Merge1[[#This Row],[제조번호]],Merge1[[#This Row],[지시수량]])</f>
        <v>에취투주200MG 50A (중외제약)
1015612
25013
4000</v>
      </c>
    </row>
    <row r="994" spans="1:13" ht="54" x14ac:dyDescent="0.25">
      <c r="A994" t="s">
        <v>587</v>
      </c>
      <c r="B994" t="s">
        <v>635</v>
      </c>
      <c r="C994" t="s">
        <v>639</v>
      </c>
      <c r="D994" t="s">
        <v>165</v>
      </c>
      <c r="E994" t="s">
        <v>166</v>
      </c>
      <c r="F994" t="s">
        <v>640</v>
      </c>
      <c r="G994">
        <v>90</v>
      </c>
      <c r="H994" t="s">
        <v>145</v>
      </c>
      <c r="I994" t="s">
        <v>602</v>
      </c>
      <c r="J994">
        <v>4000</v>
      </c>
      <c r="K994">
        <v>17</v>
      </c>
      <c r="L994">
        <f>VLOOKUP(Merge1[[#This Row],[제품코드]],공정중_우선순위[[제품코드]:[우선순위]],4,0)</f>
        <v>7</v>
      </c>
      <c r="M994" s="10" t="str">
        <f>_xlfn.TEXTJOIN(CHAR(10), TRUE, ,Merge1[[#This Row],[제품명]],Merge1[[#This Row],[오더번호]],Merge1[[#This Row],[제조번호]],Merge1[[#This Row],[지시수량]])</f>
        <v>에취투주200MG 50A (중외제약)
1015613
25014
4000</v>
      </c>
    </row>
    <row r="995" spans="1:13" ht="54" x14ac:dyDescent="0.25">
      <c r="A995" t="s">
        <v>587</v>
      </c>
      <c r="B995" t="s">
        <v>635</v>
      </c>
      <c r="C995" t="s">
        <v>641</v>
      </c>
      <c r="D995" t="s">
        <v>165</v>
      </c>
      <c r="E995" t="s">
        <v>166</v>
      </c>
      <c r="F995" t="s">
        <v>642</v>
      </c>
      <c r="G995">
        <v>90</v>
      </c>
      <c r="H995" t="s">
        <v>145</v>
      </c>
      <c r="I995" t="s">
        <v>602</v>
      </c>
      <c r="J995">
        <v>4000</v>
      </c>
      <c r="K995">
        <v>17</v>
      </c>
      <c r="L995">
        <f>VLOOKUP(Merge1[[#This Row],[제품코드]],공정중_우선순위[[제품코드]:[우선순위]],4,0)</f>
        <v>7</v>
      </c>
      <c r="M995" s="10" t="str">
        <f>_xlfn.TEXTJOIN(CHAR(10), TRUE, ,Merge1[[#This Row],[제품명]],Merge1[[#This Row],[오더번호]],Merge1[[#This Row],[제조번호]],Merge1[[#This Row],[지시수량]])</f>
        <v>에취투주200MG 50A (중외제약)
1015684
25015
4000</v>
      </c>
    </row>
    <row r="996" spans="1:13" ht="54" x14ac:dyDescent="0.25">
      <c r="A996" t="s">
        <v>587</v>
      </c>
      <c r="B996" t="s">
        <v>635</v>
      </c>
      <c r="C996" t="s">
        <v>679</v>
      </c>
      <c r="D996" t="s">
        <v>175</v>
      </c>
      <c r="E996" t="s">
        <v>176</v>
      </c>
      <c r="F996" t="s">
        <v>680</v>
      </c>
      <c r="G996">
        <v>70</v>
      </c>
      <c r="H996" t="s">
        <v>131</v>
      </c>
      <c r="I996" t="s">
        <v>606</v>
      </c>
      <c r="J996">
        <v>76000</v>
      </c>
      <c r="K996">
        <v>8</v>
      </c>
      <c r="L996">
        <f>VLOOKUP(Merge1[[#This Row],[제품코드]],공정중_우선순위[[제품코드]:[우선순위]],4,0)</f>
        <v>8</v>
      </c>
      <c r="M996" s="10" t="str">
        <f>_xlfn.TEXTJOIN(CHAR(10), TRUE, ,Merge1[[#This Row],[제품명]],Merge1[[#This Row],[오더번호]],Merge1[[#This Row],[제조번호]],Merge1[[#This Row],[지시수량]])</f>
        <v>프레디솔주125MG 1A (이연제약)
1013654
R25006
76000</v>
      </c>
    </row>
    <row r="997" spans="1:13" ht="54" x14ac:dyDescent="0.25">
      <c r="A997" t="s">
        <v>587</v>
      </c>
      <c r="B997" t="s">
        <v>635</v>
      </c>
      <c r="C997" t="s">
        <v>679</v>
      </c>
      <c r="D997" t="s">
        <v>175</v>
      </c>
      <c r="E997" t="s">
        <v>176</v>
      </c>
      <c r="F997" t="s">
        <v>680</v>
      </c>
      <c r="G997">
        <v>80</v>
      </c>
      <c r="H997" t="s">
        <v>139</v>
      </c>
      <c r="I997" t="s">
        <v>596</v>
      </c>
      <c r="J997">
        <v>76000</v>
      </c>
      <c r="K997">
        <v>8</v>
      </c>
      <c r="L997">
        <f>VLOOKUP(Merge1[[#This Row],[제품코드]],공정중_우선순위[[제품코드]:[우선순위]],4,0)</f>
        <v>8</v>
      </c>
      <c r="M997" s="10" t="str">
        <f>_xlfn.TEXTJOIN(CHAR(10), TRUE, ,Merge1[[#This Row],[제품명]],Merge1[[#This Row],[오더번호]],Merge1[[#This Row],[제조번호]],Merge1[[#This Row],[지시수량]])</f>
        <v>프레디솔주125MG 1A (이연제약)
1013654
R25006
76000</v>
      </c>
    </row>
    <row r="998" spans="1:13" ht="54" x14ac:dyDescent="0.25">
      <c r="A998" t="s">
        <v>587</v>
      </c>
      <c r="B998" t="s">
        <v>603</v>
      </c>
      <c r="C998" t="s">
        <v>649</v>
      </c>
      <c r="D998" t="s">
        <v>167</v>
      </c>
      <c r="E998" t="s">
        <v>168</v>
      </c>
      <c r="F998" t="s">
        <v>650</v>
      </c>
      <c r="G998">
        <v>70</v>
      </c>
      <c r="H998" t="s">
        <v>131</v>
      </c>
      <c r="I998" t="s">
        <v>606</v>
      </c>
      <c r="J998">
        <v>4000</v>
      </c>
      <c r="K998">
        <v>6</v>
      </c>
      <c r="L998">
        <f>VLOOKUP(Merge1[[#This Row],[제품코드]],공정중_우선순위[[제품코드]:[우선순위]],4,0)</f>
        <v>9</v>
      </c>
      <c r="M998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999" spans="1:13" ht="54" x14ac:dyDescent="0.25">
      <c r="A999" t="s">
        <v>587</v>
      </c>
      <c r="B999" t="s">
        <v>603</v>
      </c>
      <c r="C999" t="s">
        <v>615</v>
      </c>
      <c r="D999" t="s">
        <v>167</v>
      </c>
      <c r="E999" t="s">
        <v>168</v>
      </c>
      <c r="F999" t="s">
        <v>651</v>
      </c>
      <c r="G999">
        <v>70</v>
      </c>
      <c r="H999" t="s">
        <v>131</v>
      </c>
      <c r="I999" t="s">
        <v>606</v>
      </c>
      <c r="J999">
        <v>4000</v>
      </c>
      <c r="K999">
        <v>6</v>
      </c>
      <c r="L999">
        <f>VLOOKUP(Merge1[[#This Row],[제품코드]],공정중_우선순위[[제품코드]:[우선순위]],4,0)</f>
        <v>9</v>
      </c>
      <c r="M999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1000" spans="1:13" ht="54" x14ac:dyDescent="0.25">
      <c r="A1000" t="s">
        <v>587</v>
      </c>
      <c r="B1000" t="s">
        <v>603</v>
      </c>
      <c r="C1000" t="s">
        <v>649</v>
      </c>
      <c r="D1000" t="s">
        <v>167</v>
      </c>
      <c r="E1000" t="s">
        <v>168</v>
      </c>
      <c r="F1000" t="s">
        <v>650</v>
      </c>
      <c r="G1000">
        <v>80</v>
      </c>
      <c r="H1000" t="s">
        <v>139</v>
      </c>
      <c r="I1000" t="s">
        <v>596</v>
      </c>
      <c r="J1000">
        <v>4000</v>
      </c>
      <c r="K1000">
        <v>7</v>
      </c>
      <c r="L1000">
        <f>VLOOKUP(Merge1[[#This Row],[제품코드]],공정중_우선순위[[제품코드]:[우선순위]],4,0)</f>
        <v>9</v>
      </c>
      <c r="M1000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1001" spans="1:13" ht="54" x14ac:dyDescent="0.25">
      <c r="A1001" t="s">
        <v>587</v>
      </c>
      <c r="B1001" t="s">
        <v>603</v>
      </c>
      <c r="C1001" t="s">
        <v>615</v>
      </c>
      <c r="D1001" t="s">
        <v>167</v>
      </c>
      <c r="E1001" t="s">
        <v>168</v>
      </c>
      <c r="F1001" t="s">
        <v>651</v>
      </c>
      <c r="G1001">
        <v>80</v>
      </c>
      <c r="H1001" t="s">
        <v>139</v>
      </c>
      <c r="I1001" t="s">
        <v>596</v>
      </c>
      <c r="J1001">
        <v>4000</v>
      </c>
      <c r="K1001">
        <v>7</v>
      </c>
      <c r="L1001">
        <f>VLOOKUP(Merge1[[#This Row],[제품코드]],공정중_우선순위[[제품코드]:[우선순위]],4,0)</f>
        <v>9</v>
      </c>
      <c r="M1001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1002" spans="1:13" ht="54" x14ac:dyDescent="0.25">
      <c r="A1002" t="s">
        <v>587</v>
      </c>
      <c r="B1002" t="s">
        <v>603</v>
      </c>
      <c r="C1002" t="s">
        <v>649</v>
      </c>
      <c r="D1002" t="s">
        <v>167</v>
      </c>
      <c r="E1002" t="s">
        <v>168</v>
      </c>
      <c r="F1002" t="s">
        <v>650</v>
      </c>
      <c r="G1002">
        <v>90</v>
      </c>
      <c r="H1002" t="s">
        <v>145</v>
      </c>
      <c r="I1002" t="s">
        <v>602</v>
      </c>
      <c r="J1002">
        <v>4000</v>
      </c>
      <c r="K1002">
        <v>6</v>
      </c>
      <c r="L1002">
        <f>VLOOKUP(Merge1[[#This Row],[제품코드]],공정중_우선순위[[제품코드]:[우선순위]],4,0)</f>
        <v>9</v>
      </c>
      <c r="M1002" s="10" t="str">
        <f>_xlfn.TEXTJOIN(CHAR(10), TRUE, ,Merge1[[#This Row],[제품명]],Merge1[[#This Row],[오더번호]],Merge1[[#This Row],[제조번호]],Merge1[[#This Row],[지시수량]])</f>
        <v>라보파주50MG 10A (중외제약)
1015679
25007
4000</v>
      </c>
    </row>
    <row r="1003" spans="1:13" ht="54" x14ac:dyDescent="0.25">
      <c r="A1003" t="s">
        <v>587</v>
      </c>
      <c r="B1003" t="s">
        <v>603</v>
      </c>
      <c r="C1003" t="s">
        <v>615</v>
      </c>
      <c r="D1003" t="s">
        <v>167</v>
      </c>
      <c r="E1003" t="s">
        <v>168</v>
      </c>
      <c r="F1003" t="s">
        <v>651</v>
      </c>
      <c r="G1003">
        <v>90</v>
      </c>
      <c r="H1003" t="s">
        <v>145</v>
      </c>
      <c r="I1003" t="s">
        <v>602</v>
      </c>
      <c r="J1003">
        <v>4000</v>
      </c>
      <c r="K1003">
        <v>6</v>
      </c>
      <c r="L1003">
        <f>VLOOKUP(Merge1[[#This Row],[제품코드]],공정중_우선순위[[제품코드]:[우선순위]],4,0)</f>
        <v>9</v>
      </c>
      <c r="M1003" s="10" t="str">
        <f>_xlfn.TEXTJOIN(CHAR(10), TRUE, ,Merge1[[#This Row],[제품명]],Merge1[[#This Row],[오더번호]],Merge1[[#This Row],[제조번호]],Merge1[[#This Row],[지시수량]])</f>
        <v>라보파주50MG 10A (중외제약)
1015680
25008
4000</v>
      </c>
    </row>
    <row r="1004" spans="1:13" ht="54" x14ac:dyDescent="0.25">
      <c r="A1004" t="s">
        <v>587</v>
      </c>
      <c r="B1004" t="s">
        <v>603</v>
      </c>
      <c r="C1004" t="s">
        <v>677</v>
      </c>
      <c r="D1004" t="s">
        <v>173</v>
      </c>
      <c r="E1004" t="s">
        <v>174</v>
      </c>
      <c r="F1004" t="s">
        <v>678</v>
      </c>
      <c r="G1004">
        <v>70</v>
      </c>
      <c r="H1004" t="s">
        <v>131</v>
      </c>
      <c r="I1004" t="s">
        <v>588</v>
      </c>
      <c r="J1004">
        <v>5000</v>
      </c>
      <c r="K1004">
        <v>7</v>
      </c>
      <c r="L1004">
        <f>VLOOKUP(Merge1[[#This Row],[제품코드]],공정중_우선순위[[제품코드]:[우선순위]],4,0)</f>
        <v>10</v>
      </c>
      <c r="M1004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1005" spans="1:13" ht="54" x14ac:dyDescent="0.25">
      <c r="A1005" t="s">
        <v>587</v>
      </c>
      <c r="B1005" t="s">
        <v>603</v>
      </c>
      <c r="C1005" t="s">
        <v>677</v>
      </c>
      <c r="D1005" t="s">
        <v>173</v>
      </c>
      <c r="E1005" t="s">
        <v>174</v>
      </c>
      <c r="F1005" t="s">
        <v>678</v>
      </c>
      <c r="G1005">
        <v>80</v>
      </c>
      <c r="H1005" t="s">
        <v>139</v>
      </c>
      <c r="I1005" t="s">
        <v>591</v>
      </c>
      <c r="J1005">
        <v>5000</v>
      </c>
      <c r="K1005">
        <v>7</v>
      </c>
      <c r="L1005">
        <f>VLOOKUP(Merge1[[#This Row],[제품코드]],공정중_우선순위[[제품코드]:[우선순위]],4,0)</f>
        <v>10</v>
      </c>
      <c r="M1005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1006" spans="1:13" ht="54" x14ac:dyDescent="0.25">
      <c r="A1006" t="s">
        <v>587</v>
      </c>
      <c r="B1006" t="s">
        <v>603</v>
      </c>
      <c r="C1006" t="s">
        <v>677</v>
      </c>
      <c r="D1006" t="s">
        <v>173</v>
      </c>
      <c r="E1006" t="s">
        <v>174</v>
      </c>
      <c r="F1006" t="s">
        <v>678</v>
      </c>
      <c r="G1006">
        <v>90</v>
      </c>
      <c r="H1006" t="s">
        <v>145</v>
      </c>
      <c r="I1006" t="s">
        <v>601</v>
      </c>
      <c r="J1006">
        <v>5000</v>
      </c>
      <c r="K1006">
        <v>7</v>
      </c>
      <c r="L1006">
        <f>VLOOKUP(Merge1[[#This Row],[제품코드]],공정중_우선순위[[제품코드]:[우선순위]],4,0)</f>
        <v>10</v>
      </c>
      <c r="M1006" s="10" t="str">
        <f>_xlfn.TEXTJOIN(CHAR(10), TRUE, ,Merge1[[#This Row],[제품명]],Merge1[[#This Row],[오더번호]],Merge1[[#This Row],[제조번호]],Merge1[[#This Row],[지시수량]])</f>
        <v>데노간주주사용수 10A (영진약품)
1015295
25101
5000</v>
      </c>
    </row>
    <row r="1007" spans="1:13" ht="54" x14ac:dyDescent="0.25">
      <c r="A1007" t="s">
        <v>587</v>
      </c>
      <c r="B1007" t="s">
        <v>603</v>
      </c>
      <c r="C1007" t="s">
        <v>604</v>
      </c>
      <c r="D1007" t="s">
        <v>152</v>
      </c>
      <c r="E1007" t="s">
        <v>153</v>
      </c>
      <c r="F1007" t="s">
        <v>605</v>
      </c>
      <c r="G1007">
        <v>70</v>
      </c>
      <c r="H1007" t="s">
        <v>131</v>
      </c>
      <c r="I1007" t="s">
        <v>606</v>
      </c>
      <c r="J1007">
        <v>8000</v>
      </c>
      <c r="K1007">
        <v>10</v>
      </c>
      <c r="L1007">
        <f>VLOOKUP(Merge1[[#This Row],[제품코드]],공정중_우선순위[[제품코드]:[우선순위]],4,0)</f>
        <v>11</v>
      </c>
      <c r="M1007" s="10" t="str">
        <f>_xlfn.TEXTJOIN(CHAR(10), TRUE, ,Merge1[[#This Row],[제품명]],Merge1[[#This Row],[오더번호]],Merge1[[#This Row],[제조번호]],Merge1[[#This Row],[지시수량]])</f>
        <v>아이델라주25MG 10A
1015474
A002919
8000</v>
      </c>
    </row>
    <row r="1008" spans="1:13" ht="54" x14ac:dyDescent="0.25">
      <c r="A1008" t="s">
        <v>587</v>
      </c>
      <c r="B1008" t="s">
        <v>603</v>
      </c>
      <c r="C1008" t="s">
        <v>604</v>
      </c>
      <c r="D1008" t="s">
        <v>152</v>
      </c>
      <c r="E1008" t="s">
        <v>153</v>
      </c>
      <c r="F1008" t="s">
        <v>605</v>
      </c>
      <c r="G1008">
        <v>80</v>
      </c>
      <c r="H1008" t="s">
        <v>139</v>
      </c>
      <c r="I1008" t="s">
        <v>596</v>
      </c>
      <c r="J1008">
        <v>8000</v>
      </c>
      <c r="K1008">
        <v>11</v>
      </c>
      <c r="L1008">
        <f>VLOOKUP(Merge1[[#This Row],[제품코드]],공정중_우선순위[[제품코드]:[우선순위]],4,0)</f>
        <v>11</v>
      </c>
      <c r="M1008" s="10" t="str">
        <f>_xlfn.TEXTJOIN(CHAR(10), TRUE, ,Merge1[[#This Row],[제품명]],Merge1[[#This Row],[오더번호]],Merge1[[#This Row],[제조번호]],Merge1[[#This Row],[지시수량]])</f>
        <v>아이델라주25MG 10A
1015474
A002919
8000</v>
      </c>
    </row>
    <row r="1009" spans="1:13" ht="54" x14ac:dyDescent="0.25">
      <c r="A1009" t="s">
        <v>587</v>
      </c>
      <c r="B1009" t="s">
        <v>603</v>
      </c>
      <c r="C1009" t="s">
        <v>604</v>
      </c>
      <c r="D1009" t="s">
        <v>152</v>
      </c>
      <c r="E1009" t="s">
        <v>153</v>
      </c>
      <c r="F1009" t="s">
        <v>605</v>
      </c>
      <c r="G1009">
        <v>90</v>
      </c>
      <c r="H1009" t="s">
        <v>145</v>
      </c>
      <c r="I1009" t="s">
        <v>602</v>
      </c>
      <c r="J1009">
        <v>8000</v>
      </c>
      <c r="K1009">
        <v>11</v>
      </c>
      <c r="L1009">
        <f>VLOOKUP(Merge1[[#This Row],[제품코드]],공정중_우선순위[[제품코드]:[우선순위]],4,0)</f>
        <v>11</v>
      </c>
      <c r="M1009" s="10" t="str">
        <f>_xlfn.TEXTJOIN(CHAR(10), TRUE, ,Merge1[[#This Row],[제품명]],Merge1[[#This Row],[오더번호]],Merge1[[#This Row],[제조번호]],Merge1[[#This Row],[지시수량]])</f>
        <v>아이델라주25MG 10A
1015474
A002919
8000</v>
      </c>
    </row>
    <row r="1010" spans="1:13" ht="54" x14ac:dyDescent="0.25">
      <c r="A1010" t="s">
        <v>587</v>
      </c>
      <c r="B1010" t="s">
        <v>652</v>
      </c>
      <c r="C1010" t="s">
        <v>653</v>
      </c>
      <c r="D1010" t="s">
        <v>169</v>
      </c>
      <c r="E1010" t="s">
        <v>170</v>
      </c>
      <c r="F1010" t="s">
        <v>654</v>
      </c>
      <c r="G1010">
        <v>70</v>
      </c>
      <c r="H1010" t="s">
        <v>131</v>
      </c>
      <c r="I1010" t="s">
        <v>606</v>
      </c>
      <c r="J1010">
        <v>6000</v>
      </c>
      <c r="K1010">
        <v>9</v>
      </c>
      <c r="L1010">
        <f>VLOOKUP(Merge1[[#This Row],[제품코드]],공정중_우선순위[[제품코드]:[우선순위]],4,0)</f>
        <v>12</v>
      </c>
      <c r="M1010" s="10" t="str">
        <f>_xlfn.TEXTJOIN(CHAR(10), TRUE, ,Merge1[[#This Row],[제품명]],Merge1[[#This Row],[오더번호]],Merge1[[#This Row],[제조번호]],Merge1[[#This Row],[지시수량]])</f>
        <v>뮤테란주600MG 10A (한화제약)
1015501
25072
6000</v>
      </c>
    </row>
    <row r="1011" spans="1:13" ht="54" x14ac:dyDescent="0.25">
      <c r="A1011" t="s">
        <v>587</v>
      </c>
      <c r="B1011" t="s">
        <v>652</v>
      </c>
      <c r="C1011" t="s">
        <v>655</v>
      </c>
      <c r="D1011" t="s">
        <v>169</v>
      </c>
      <c r="E1011" t="s">
        <v>170</v>
      </c>
      <c r="F1011" t="s">
        <v>656</v>
      </c>
      <c r="G1011">
        <v>70</v>
      </c>
      <c r="H1011" t="s">
        <v>131</v>
      </c>
      <c r="I1011" t="s">
        <v>606</v>
      </c>
      <c r="J1011">
        <v>6000</v>
      </c>
      <c r="K1011">
        <v>9</v>
      </c>
      <c r="L1011">
        <f>VLOOKUP(Merge1[[#This Row],[제품코드]],공정중_우선순위[[제품코드]:[우선순위]],4,0)</f>
        <v>12</v>
      </c>
      <c r="M1011" s="10" t="str">
        <f>_xlfn.TEXTJOIN(CHAR(10), TRUE, ,Merge1[[#This Row],[제품명]],Merge1[[#This Row],[오더번호]],Merge1[[#This Row],[제조번호]],Merge1[[#This Row],[지시수량]])</f>
        <v>뮤테란주600MG 10A (한화제약)
1015502
25073
6000</v>
      </c>
    </row>
    <row r="1012" spans="1:13" ht="54" x14ac:dyDescent="0.25">
      <c r="A1012" t="s">
        <v>587</v>
      </c>
      <c r="B1012" t="s">
        <v>652</v>
      </c>
      <c r="C1012" t="s">
        <v>657</v>
      </c>
      <c r="D1012" t="s">
        <v>169</v>
      </c>
      <c r="E1012" t="s">
        <v>170</v>
      </c>
      <c r="F1012" t="s">
        <v>658</v>
      </c>
      <c r="G1012">
        <v>70</v>
      </c>
      <c r="H1012" t="s">
        <v>131</v>
      </c>
      <c r="I1012" t="s">
        <v>606</v>
      </c>
      <c r="J1012">
        <v>6000</v>
      </c>
      <c r="K1012">
        <v>9</v>
      </c>
      <c r="L1012">
        <f>VLOOKUP(Merge1[[#This Row],[제품코드]],공정중_우선순위[[제품코드]:[우선순위]],4,0)</f>
        <v>12</v>
      </c>
      <c r="M1012" s="10" t="str">
        <f>_xlfn.TEXTJOIN(CHAR(10), TRUE, ,Merge1[[#This Row],[제품명]],Merge1[[#This Row],[오더번호]],Merge1[[#This Row],[제조번호]],Merge1[[#This Row],[지시수량]])</f>
        <v>뮤테란주600MG 10A (한화제약)
1015503
25074
6000</v>
      </c>
    </row>
    <row r="1013" spans="1:13" ht="54" x14ac:dyDescent="0.25">
      <c r="A1013" t="s">
        <v>587</v>
      </c>
      <c r="B1013" t="s">
        <v>652</v>
      </c>
      <c r="C1013" t="s">
        <v>659</v>
      </c>
      <c r="D1013" t="s">
        <v>169</v>
      </c>
      <c r="E1013" t="s">
        <v>170</v>
      </c>
      <c r="F1013" t="s">
        <v>660</v>
      </c>
      <c r="G1013">
        <v>70</v>
      </c>
      <c r="H1013" t="s">
        <v>131</v>
      </c>
      <c r="I1013" t="s">
        <v>606</v>
      </c>
      <c r="J1013">
        <v>6000</v>
      </c>
      <c r="K1013">
        <v>9</v>
      </c>
      <c r="L1013">
        <f>VLOOKUP(Merge1[[#This Row],[제품코드]],공정중_우선순위[[제품코드]:[우선순위]],4,0)</f>
        <v>12</v>
      </c>
      <c r="M1013" s="10" t="str">
        <f>_xlfn.TEXTJOIN(CHAR(10), TRUE, ,Merge1[[#This Row],[제품명]],Merge1[[#This Row],[오더번호]],Merge1[[#This Row],[제조번호]],Merge1[[#This Row],[지시수량]])</f>
        <v>뮤테란주600MG 10A (한화제약)
1015504
25075
6000</v>
      </c>
    </row>
    <row r="1014" spans="1:13" ht="54" x14ac:dyDescent="0.25">
      <c r="A1014" t="s">
        <v>587</v>
      </c>
      <c r="B1014" t="s">
        <v>652</v>
      </c>
      <c r="C1014" t="s">
        <v>661</v>
      </c>
      <c r="D1014" t="s">
        <v>169</v>
      </c>
      <c r="E1014" t="s">
        <v>170</v>
      </c>
      <c r="F1014" t="s">
        <v>662</v>
      </c>
      <c r="G1014">
        <v>70</v>
      </c>
      <c r="H1014" t="s">
        <v>131</v>
      </c>
      <c r="I1014" t="s">
        <v>606</v>
      </c>
      <c r="J1014">
        <v>6000</v>
      </c>
      <c r="K1014">
        <v>9</v>
      </c>
      <c r="L1014">
        <f>VLOOKUP(Merge1[[#This Row],[제품코드]],공정중_우선순위[[제품코드]:[우선순위]],4,0)</f>
        <v>12</v>
      </c>
      <c r="M1014" s="10" t="str">
        <f>_xlfn.TEXTJOIN(CHAR(10), TRUE, ,Merge1[[#This Row],[제품명]],Merge1[[#This Row],[오더번호]],Merge1[[#This Row],[제조번호]],Merge1[[#This Row],[지시수량]])</f>
        <v>뮤테란주600MG 10A (한화제약)
1015505
25076
6000</v>
      </c>
    </row>
    <row r="1015" spans="1:13" ht="54" x14ac:dyDescent="0.25">
      <c r="A1015" t="s">
        <v>587</v>
      </c>
      <c r="B1015" t="s">
        <v>652</v>
      </c>
      <c r="C1015" t="s">
        <v>663</v>
      </c>
      <c r="D1015" t="s">
        <v>169</v>
      </c>
      <c r="E1015" t="s">
        <v>170</v>
      </c>
      <c r="F1015" t="s">
        <v>664</v>
      </c>
      <c r="G1015">
        <v>70</v>
      </c>
      <c r="H1015" t="s">
        <v>131</v>
      </c>
      <c r="I1015" t="s">
        <v>606</v>
      </c>
      <c r="J1015">
        <v>6000</v>
      </c>
      <c r="K1015">
        <v>9</v>
      </c>
      <c r="L1015">
        <f>VLOOKUP(Merge1[[#This Row],[제품코드]],공정중_우선순위[[제품코드]:[우선순위]],4,0)</f>
        <v>12</v>
      </c>
      <c r="M1015" s="10" t="str">
        <f>_xlfn.TEXTJOIN(CHAR(10), TRUE, ,Merge1[[#This Row],[제품명]],Merge1[[#This Row],[오더번호]],Merge1[[#This Row],[제조번호]],Merge1[[#This Row],[지시수량]])</f>
        <v>뮤테란주600MG 10A (한화제약)
1015506
25077
6000</v>
      </c>
    </row>
    <row r="1016" spans="1:13" ht="54" x14ac:dyDescent="0.25">
      <c r="A1016" t="s">
        <v>587</v>
      </c>
      <c r="B1016" t="s">
        <v>652</v>
      </c>
      <c r="C1016" t="s">
        <v>665</v>
      </c>
      <c r="D1016" t="s">
        <v>169</v>
      </c>
      <c r="E1016" t="s">
        <v>170</v>
      </c>
      <c r="F1016" t="s">
        <v>666</v>
      </c>
      <c r="G1016">
        <v>70</v>
      </c>
      <c r="H1016" t="s">
        <v>131</v>
      </c>
      <c r="I1016" t="s">
        <v>606</v>
      </c>
      <c r="J1016">
        <v>6000</v>
      </c>
      <c r="K1016">
        <v>9</v>
      </c>
      <c r="L1016">
        <f>VLOOKUP(Merge1[[#This Row],[제품코드]],공정중_우선순위[[제품코드]:[우선순위]],4,0)</f>
        <v>12</v>
      </c>
      <c r="M1016" s="10" t="str">
        <f>_xlfn.TEXTJOIN(CHAR(10), TRUE, ,Merge1[[#This Row],[제품명]],Merge1[[#This Row],[오더번호]],Merge1[[#This Row],[제조번호]],Merge1[[#This Row],[지시수량]])</f>
        <v>뮤테란주600MG 10A (한화제약)
1015507
25078
6000</v>
      </c>
    </row>
    <row r="1017" spans="1:13" ht="54" x14ac:dyDescent="0.25">
      <c r="A1017" t="s">
        <v>587</v>
      </c>
      <c r="B1017" t="s">
        <v>652</v>
      </c>
      <c r="C1017" t="s">
        <v>653</v>
      </c>
      <c r="D1017" t="s">
        <v>169</v>
      </c>
      <c r="E1017" t="s">
        <v>170</v>
      </c>
      <c r="F1017" t="s">
        <v>654</v>
      </c>
      <c r="G1017">
        <v>80</v>
      </c>
      <c r="H1017" t="s">
        <v>139</v>
      </c>
      <c r="I1017" t="s">
        <v>596</v>
      </c>
      <c r="J1017">
        <v>6000</v>
      </c>
      <c r="K1017">
        <v>10</v>
      </c>
      <c r="L1017">
        <f>VLOOKUP(Merge1[[#This Row],[제품코드]],공정중_우선순위[[제품코드]:[우선순위]],4,0)</f>
        <v>12</v>
      </c>
      <c r="M1017" s="10" t="str">
        <f>_xlfn.TEXTJOIN(CHAR(10), TRUE, ,Merge1[[#This Row],[제품명]],Merge1[[#This Row],[오더번호]],Merge1[[#This Row],[제조번호]],Merge1[[#This Row],[지시수량]])</f>
        <v>뮤테란주600MG 10A (한화제약)
1015501
25072
6000</v>
      </c>
    </row>
    <row r="1018" spans="1:13" ht="54" x14ac:dyDescent="0.25">
      <c r="A1018" t="s">
        <v>587</v>
      </c>
      <c r="B1018" t="s">
        <v>652</v>
      </c>
      <c r="C1018" t="s">
        <v>655</v>
      </c>
      <c r="D1018" t="s">
        <v>169</v>
      </c>
      <c r="E1018" t="s">
        <v>170</v>
      </c>
      <c r="F1018" t="s">
        <v>656</v>
      </c>
      <c r="G1018">
        <v>80</v>
      </c>
      <c r="H1018" t="s">
        <v>139</v>
      </c>
      <c r="I1018" t="s">
        <v>596</v>
      </c>
      <c r="J1018">
        <v>6000</v>
      </c>
      <c r="K1018">
        <v>10</v>
      </c>
      <c r="L1018">
        <f>VLOOKUP(Merge1[[#This Row],[제품코드]],공정중_우선순위[[제품코드]:[우선순위]],4,0)</f>
        <v>12</v>
      </c>
      <c r="M1018" s="10" t="str">
        <f>_xlfn.TEXTJOIN(CHAR(10), TRUE, ,Merge1[[#This Row],[제품명]],Merge1[[#This Row],[오더번호]],Merge1[[#This Row],[제조번호]],Merge1[[#This Row],[지시수량]])</f>
        <v>뮤테란주600MG 10A (한화제약)
1015502
25073
6000</v>
      </c>
    </row>
    <row r="1019" spans="1:13" ht="54" x14ac:dyDescent="0.25">
      <c r="A1019" t="s">
        <v>587</v>
      </c>
      <c r="B1019" t="s">
        <v>652</v>
      </c>
      <c r="C1019" t="s">
        <v>657</v>
      </c>
      <c r="D1019" t="s">
        <v>169</v>
      </c>
      <c r="E1019" t="s">
        <v>170</v>
      </c>
      <c r="F1019" t="s">
        <v>658</v>
      </c>
      <c r="G1019">
        <v>80</v>
      </c>
      <c r="H1019" t="s">
        <v>139</v>
      </c>
      <c r="I1019" t="s">
        <v>596</v>
      </c>
      <c r="J1019">
        <v>6000</v>
      </c>
      <c r="K1019">
        <v>10</v>
      </c>
      <c r="L1019">
        <f>VLOOKUP(Merge1[[#This Row],[제품코드]],공정중_우선순위[[제품코드]:[우선순위]],4,0)</f>
        <v>12</v>
      </c>
      <c r="M1019" s="10" t="str">
        <f>_xlfn.TEXTJOIN(CHAR(10), TRUE, ,Merge1[[#This Row],[제품명]],Merge1[[#This Row],[오더번호]],Merge1[[#This Row],[제조번호]],Merge1[[#This Row],[지시수량]])</f>
        <v>뮤테란주600MG 10A (한화제약)
1015503
25074
6000</v>
      </c>
    </row>
    <row r="1020" spans="1:13" ht="54" x14ac:dyDescent="0.25">
      <c r="A1020" t="s">
        <v>587</v>
      </c>
      <c r="B1020" t="s">
        <v>652</v>
      </c>
      <c r="C1020" t="s">
        <v>659</v>
      </c>
      <c r="D1020" t="s">
        <v>169</v>
      </c>
      <c r="E1020" t="s">
        <v>170</v>
      </c>
      <c r="F1020" t="s">
        <v>660</v>
      </c>
      <c r="G1020">
        <v>80</v>
      </c>
      <c r="H1020" t="s">
        <v>139</v>
      </c>
      <c r="I1020" t="s">
        <v>596</v>
      </c>
      <c r="J1020">
        <v>6000</v>
      </c>
      <c r="K1020">
        <v>10</v>
      </c>
      <c r="L1020">
        <f>VLOOKUP(Merge1[[#This Row],[제품코드]],공정중_우선순위[[제품코드]:[우선순위]],4,0)</f>
        <v>12</v>
      </c>
      <c r="M1020" s="10" t="str">
        <f>_xlfn.TEXTJOIN(CHAR(10), TRUE, ,Merge1[[#This Row],[제품명]],Merge1[[#This Row],[오더번호]],Merge1[[#This Row],[제조번호]],Merge1[[#This Row],[지시수량]])</f>
        <v>뮤테란주600MG 10A (한화제약)
1015504
25075
6000</v>
      </c>
    </row>
    <row r="1021" spans="1:13" ht="54" x14ac:dyDescent="0.25">
      <c r="A1021" t="s">
        <v>587</v>
      </c>
      <c r="B1021" t="s">
        <v>652</v>
      </c>
      <c r="C1021" t="s">
        <v>661</v>
      </c>
      <c r="D1021" t="s">
        <v>169</v>
      </c>
      <c r="E1021" t="s">
        <v>170</v>
      </c>
      <c r="F1021" t="s">
        <v>662</v>
      </c>
      <c r="G1021">
        <v>80</v>
      </c>
      <c r="H1021" t="s">
        <v>139</v>
      </c>
      <c r="I1021" t="s">
        <v>596</v>
      </c>
      <c r="J1021">
        <v>6000</v>
      </c>
      <c r="K1021">
        <v>10</v>
      </c>
      <c r="L1021">
        <f>VLOOKUP(Merge1[[#This Row],[제품코드]],공정중_우선순위[[제품코드]:[우선순위]],4,0)</f>
        <v>12</v>
      </c>
      <c r="M1021" s="10" t="str">
        <f>_xlfn.TEXTJOIN(CHAR(10), TRUE, ,Merge1[[#This Row],[제품명]],Merge1[[#This Row],[오더번호]],Merge1[[#This Row],[제조번호]],Merge1[[#This Row],[지시수량]])</f>
        <v>뮤테란주600MG 10A (한화제약)
1015505
25076
6000</v>
      </c>
    </row>
    <row r="1022" spans="1:13" ht="54" x14ac:dyDescent="0.25">
      <c r="A1022" t="s">
        <v>587</v>
      </c>
      <c r="B1022" t="s">
        <v>652</v>
      </c>
      <c r="C1022" t="s">
        <v>663</v>
      </c>
      <c r="D1022" t="s">
        <v>169</v>
      </c>
      <c r="E1022" t="s">
        <v>170</v>
      </c>
      <c r="F1022" t="s">
        <v>664</v>
      </c>
      <c r="G1022">
        <v>80</v>
      </c>
      <c r="H1022" t="s">
        <v>139</v>
      </c>
      <c r="I1022" t="s">
        <v>596</v>
      </c>
      <c r="J1022">
        <v>6000</v>
      </c>
      <c r="K1022">
        <v>10</v>
      </c>
      <c r="L1022">
        <f>VLOOKUP(Merge1[[#This Row],[제품코드]],공정중_우선순위[[제품코드]:[우선순위]],4,0)</f>
        <v>12</v>
      </c>
      <c r="M1022" s="10" t="str">
        <f>_xlfn.TEXTJOIN(CHAR(10), TRUE, ,Merge1[[#This Row],[제품명]],Merge1[[#This Row],[오더번호]],Merge1[[#This Row],[제조번호]],Merge1[[#This Row],[지시수량]])</f>
        <v>뮤테란주600MG 10A (한화제약)
1015506
25077
6000</v>
      </c>
    </row>
    <row r="1023" spans="1:13" ht="54" x14ac:dyDescent="0.25">
      <c r="A1023" t="s">
        <v>587</v>
      </c>
      <c r="B1023" t="s">
        <v>652</v>
      </c>
      <c r="C1023" t="s">
        <v>665</v>
      </c>
      <c r="D1023" t="s">
        <v>169</v>
      </c>
      <c r="E1023" t="s">
        <v>170</v>
      </c>
      <c r="F1023" t="s">
        <v>666</v>
      </c>
      <c r="G1023">
        <v>80</v>
      </c>
      <c r="H1023" t="s">
        <v>139</v>
      </c>
      <c r="I1023" t="s">
        <v>596</v>
      </c>
      <c r="J1023">
        <v>6000</v>
      </c>
      <c r="K1023">
        <v>10</v>
      </c>
      <c r="L1023">
        <f>VLOOKUP(Merge1[[#This Row],[제품코드]],공정중_우선순위[[제품코드]:[우선순위]],4,0)</f>
        <v>12</v>
      </c>
      <c r="M1023" s="10" t="str">
        <f>_xlfn.TEXTJOIN(CHAR(10), TRUE, ,Merge1[[#This Row],[제품명]],Merge1[[#This Row],[오더번호]],Merge1[[#This Row],[제조번호]],Merge1[[#This Row],[지시수량]])</f>
        <v>뮤테란주600MG 10A (한화제약)
1015507
25078
6000</v>
      </c>
    </row>
    <row r="1024" spans="1:13" ht="54" x14ac:dyDescent="0.25">
      <c r="A1024" t="s">
        <v>587</v>
      </c>
      <c r="B1024" t="s">
        <v>652</v>
      </c>
      <c r="C1024" t="s">
        <v>653</v>
      </c>
      <c r="D1024" t="s">
        <v>169</v>
      </c>
      <c r="E1024" t="s">
        <v>170</v>
      </c>
      <c r="F1024" t="s">
        <v>654</v>
      </c>
      <c r="G1024">
        <v>90</v>
      </c>
      <c r="H1024" t="s">
        <v>145</v>
      </c>
      <c r="I1024" t="s">
        <v>602</v>
      </c>
      <c r="J1024">
        <v>6000</v>
      </c>
      <c r="K1024">
        <v>10</v>
      </c>
      <c r="L1024">
        <f>VLOOKUP(Merge1[[#This Row],[제품코드]],공정중_우선순위[[제품코드]:[우선순위]],4,0)</f>
        <v>12</v>
      </c>
      <c r="M1024" s="10" t="str">
        <f>_xlfn.TEXTJOIN(CHAR(10), TRUE, ,Merge1[[#This Row],[제품명]],Merge1[[#This Row],[오더번호]],Merge1[[#This Row],[제조번호]],Merge1[[#This Row],[지시수량]])</f>
        <v>뮤테란주600MG 10A (한화제약)
1015501
25072
6000</v>
      </c>
    </row>
    <row r="1025" spans="1:13" ht="54" x14ac:dyDescent="0.25">
      <c r="A1025" t="s">
        <v>587</v>
      </c>
      <c r="B1025" t="s">
        <v>652</v>
      </c>
      <c r="C1025" t="s">
        <v>655</v>
      </c>
      <c r="D1025" t="s">
        <v>169</v>
      </c>
      <c r="E1025" t="s">
        <v>170</v>
      </c>
      <c r="F1025" t="s">
        <v>656</v>
      </c>
      <c r="G1025">
        <v>90</v>
      </c>
      <c r="H1025" t="s">
        <v>145</v>
      </c>
      <c r="I1025" t="s">
        <v>602</v>
      </c>
      <c r="J1025">
        <v>6000</v>
      </c>
      <c r="K1025">
        <v>10</v>
      </c>
      <c r="L1025">
        <f>VLOOKUP(Merge1[[#This Row],[제품코드]],공정중_우선순위[[제품코드]:[우선순위]],4,0)</f>
        <v>12</v>
      </c>
      <c r="M1025" s="10" t="str">
        <f>_xlfn.TEXTJOIN(CHAR(10), TRUE, ,Merge1[[#This Row],[제품명]],Merge1[[#This Row],[오더번호]],Merge1[[#This Row],[제조번호]],Merge1[[#This Row],[지시수량]])</f>
        <v>뮤테란주600MG 10A (한화제약)
1015502
25073
6000</v>
      </c>
    </row>
    <row r="1026" spans="1:13" ht="54" x14ac:dyDescent="0.25">
      <c r="A1026" t="s">
        <v>587</v>
      </c>
      <c r="B1026" t="s">
        <v>652</v>
      </c>
      <c r="C1026" t="s">
        <v>657</v>
      </c>
      <c r="D1026" t="s">
        <v>169</v>
      </c>
      <c r="E1026" t="s">
        <v>170</v>
      </c>
      <c r="F1026" t="s">
        <v>658</v>
      </c>
      <c r="G1026">
        <v>90</v>
      </c>
      <c r="H1026" t="s">
        <v>145</v>
      </c>
      <c r="I1026" t="s">
        <v>602</v>
      </c>
      <c r="J1026">
        <v>6000</v>
      </c>
      <c r="K1026">
        <v>10</v>
      </c>
      <c r="L1026">
        <f>VLOOKUP(Merge1[[#This Row],[제품코드]],공정중_우선순위[[제품코드]:[우선순위]],4,0)</f>
        <v>12</v>
      </c>
      <c r="M1026" s="10" t="str">
        <f>_xlfn.TEXTJOIN(CHAR(10), TRUE, ,Merge1[[#This Row],[제품명]],Merge1[[#This Row],[오더번호]],Merge1[[#This Row],[제조번호]],Merge1[[#This Row],[지시수량]])</f>
        <v>뮤테란주600MG 10A (한화제약)
1015503
25074
6000</v>
      </c>
    </row>
    <row r="1027" spans="1:13" ht="54" x14ac:dyDescent="0.25">
      <c r="A1027" t="s">
        <v>587</v>
      </c>
      <c r="B1027" t="s">
        <v>652</v>
      </c>
      <c r="C1027" t="s">
        <v>659</v>
      </c>
      <c r="D1027" t="s">
        <v>169</v>
      </c>
      <c r="E1027" t="s">
        <v>170</v>
      </c>
      <c r="F1027" t="s">
        <v>660</v>
      </c>
      <c r="G1027">
        <v>90</v>
      </c>
      <c r="H1027" t="s">
        <v>145</v>
      </c>
      <c r="I1027" t="s">
        <v>602</v>
      </c>
      <c r="J1027">
        <v>6000</v>
      </c>
      <c r="K1027">
        <v>10</v>
      </c>
      <c r="L1027">
        <f>VLOOKUP(Merge1[[#This Row],[제품코드]],공정중_우선순위[[제품코드]:[우선순위]],4,0)</f>
        <v>12</v>
      </c>
      <c r="M1027" s="10" t="str">
        <f>_xlfn.TEXTJOIN(CHAR(10), TRUE, ,Merge1[[#This Row],[제품명]],Merge1[[#This Row],[오더번호]],Merge1[[#This Row],[제조번호]],Merge1[[#This Row],[지시수량]])</f>
        <v>뮤테란주600MG 10A (한화제약)
1015504
25075
6000</v>
      </c>
    </row>
    <row r="1028" spans="1:13" ht="54" x14ac:dyDescent="0.25">
      <c r="A1028" t="s">
        <v>587</v>
      </c>
      <c r="B1028" t="s">
        <v>652</v>
      </c>
      <c r="C1028" t="s">
        <v>661</v>
      </c>
      <c r="D1028" t="s">
        <v>169</v>
      </c>
      <c r="E1028" t="s">
        <v>170</v>
      </c>
      <c r="F1028" t="s">
        <v>662</v>
      </c>
      <c r="G1028">
        <v>90</v>
      </c>
      <c r="H1028" t="s">
        <v>145</v>
      </c>
      <c r="I1028" t="s">
        <v>602</v>
      </c>
      <c r="J1028">
        <v>6000</v>
      </c>
      <c r="K1028">
        <v>10</v>
      </c>
      <c r="L1028">
        <f>VLOOKUP(Merge1[[#This Row],[제품코드]],공정중_우선순위[[제품코드]:[우선순위]],4,0)</f>
        <v>12</v>
      </c>
      <c r="M1028" s="10" t="str">
        <f>_xlfn.TEXTJOIN(CHAR(10), TRUE, ,Merge1[[#This Row],[제품명]],Merge1[[#This Row],[오더번호]],Merge1[[#This Row],[제조번호]],Merge1[[#This Row],[지시수량]])</f>
        <v>뮤테란주600MG 10A (한화제약)
1015505
25076
6000</v>
      </c>
    </row>
    <row r="1029" spans="1:13" ht="54" x14ac:dyDescent="0.25">
      <c r="A1029" t="s">
        <v>587</v>
      </c>
      <c r="B1029" t="s">
        <v>652</v>
      </c>
      <c r="C1029" t="s">
        <v>663</v>
      </c>
      <c r="D1029" t="s">
        <v>169</v>
      </c>
      <c r="E1029" t="s">
        <v>170</v>
      </c>
      <c r="F1029" t="s">
        <v>664</v>
      </c>
      <c r="G1029">
        <v>90</v>
      </c>
      <c r="H1029" t="s">
        <v>145</v>
      </c>
      <c r="I1029" t="s">
        <v>602</v>
      </c>
      <c r="J1029">
        <v>6000</v>
      </c>
      <c r="K1029">
        <v>10</v>
      </c>
      <c r="L1029">
        <f>VLOOKUP(Merge1[[#This Row],[제품코드]],공정중_우선순위[[제품코드]:[우선순위]],4,0)</f>
        <v>12</v>
      </c>
      <c r="M1029" s="10" t="str">
        <f>_xlfn.TEXTJOIN(CHAR(10), TRUE, ,Merge1[[#This Row],[제품명]],Merge1[[#This Row],[오더번호]],Merge1[[#This Row],[제조번호]],Merge1[[#This Row],[지시수량]])</f>
        <v>뮤테란주600MG 10A (한화제약)
1015506
25077
6000</v>
      </c>
    </row>
    <row r="1030" spans="1:13" ht="54" x14ac:dyDescent="0.25">
      <c r="A1030" t="s">
        <v>587</v>
      </c>
      <c r="B1030" t="s">
        <v>652</v>
      </c>
      <c r="C1030" t="s">
        <v>665</v>
      </c>
      <c r="D1030" t="s">
        <v>169</v>
      </c>
      <c r="E1030" t="s">
        <v>170</v>
      </c>
      <c r="F1030" t="s">
        <v>666</v>
      </c>
      <c r="G1030">
        <v>90</v>
      </c>
      <c r="H1030" t="s">
        <v>145</v>
      </c>
      <c r="I1030" t="s">
        <v>602</v>
      </c>
      <c r="J1030">
        <v>6000</v>
      </c>
      <c r="K1030">
        <v>10</v>
      </c>
      <c r="L1030">
        <f>VLOOKUP(Merge1[[#This Row],[제품코드]],공정중_우선순위[[제품코드]:[우선순위]],4,0)</f>
        <v>12</v>
      </c>
      <c r="M1030" s="10" t="str">
        <f>_xlfn.TEXTJOIN(CHAR(10), TRUE, ,Merge1[[#This Row],[제품명]],Merge1[[#This Row],[오더번호]],Merge1[[#This Row],[제조번호]],Merge1[[#This Row],[지시수량]])</f>
        <v>뮤테란주600MG 10A (한화제약)
1015507
25078
6000</v>
      </c>
    </row>
    <row r="1031" spans="1:13" ht="67.5" x14ac:dyDescent="0.25">
      <c r="A1031" t="s">
        <v>587</v>
      </c>
      <c r="B1031" t="s">
        <v>723</v>
      </c>
      <c r="C1031" t="s">
        <v>724</v>
      </c>
      <c r="D1031" t="s">
        <v>189</v>
      </c>
      <c r="E1031" t="s">
        <v>190</v>
      </c>
      <c r="F1031" t="s">
        <v>725</v>
      </c>
      <c r="G1031">
        <v>70</v>
      </c>
      <c r="H1031" t="s">
        <v>131</v>
      </c>
      <c r="I1031" t="s">
        <v>588</v>
      </c>
      <c r="J1031">
        <v>6000</v>
      </c>
      <c r="L1031">
        <f>VLOOKUP(Merge1[[#This Row],[제품코드]],공정중_우선순위[[제품코드]:[우선순위]],4,0)</f>
        <v>14</v>
      </c>
      <c r="M1031" s="10" t="str">
        <f>_xlfn.TEXTJOIN(CHAR(10), TRUE, ,Merge1[[#This Row],[제품명]],Merge1[[#This Row],[오더번호]],Merge1[[#This Row],[제조번호]],Merge1[[#This Row],[지시수량]])</f>
        <v>아주아미카신주500mg 10A (베트남)
1015431
A002807
6000</v>
      </c>
    </row>
    <row r="1032" spans="1:13" ht="67.5" x14ac:dyDescent="0.25">
      <c r="A1032" t="s">
        <v>587</v>
      </c>
      <c r="B1032" t="s">
        <v>668</v>
      </c>
      <c r="C1032" t="s">
        <v>669</v>
      </c>
      <c r="D1032" t="s">
        <v>171</v>
      </c>
      <c r="E1032" t="s">
        <v>172</v>
      </c>
      <c r="F1032" t="s">
        <v>670</v>
      </c>
      <c r="G1032">
        <v>70</v>
      </c>
      <c r="H1032" t="s">
        <v>131</v>
      </c>
      <c r="I1032" t="s">
        <v>606</v>
      </c>
      <c r="J1032">
        <v>4000</v>
      </c>
      <c r="K1032">
        <v>8</v>
      </c>
      <c r="L1032">
        <f>VLOOKUP(Merge1[[#This Row],[제품코드]],공정중_우선순위[[제품코드]:[우선순위]],4,0)</f>
        <v>15</v>
      </c>
      <c r="M1032" s="10" t="str">
        <f>_xlfn.TEXTJOIN(CHAR(10), TRUE, ,Merge1[[#This Row],[제품명]],Merge1[[#This Row],[오더번호]],Merge1[[#This Row],[제조번호]],Merge1[[#This Row],[지시수량]])</f>
        <v>헤파멜즈인퓨전주5G 10A (한화제약)
1015570
25034
4000</v>
      </c>
    </row>
    <row r="1033" spans="1:13" ht="67.5" x14ac:dyDescent="0.25">
      <c r="A1033" t="s">
        <v>587</v>
      </c>
      <c r="B1033" t="s">
        <v>668</v>
      </c>
      <c r="C1033" t="s">
        <v>617</v>
      </c>
      <c r="D1033" t="s">
        <v>171</v>
      </c>
      <c r="E1033" t="s">
        <v>172</v>
      </c>
      <c r="F1033" t="s">
        <v>671</v>
      </c>
      <c r="G1033">
        <v>70</v>
      </c>
      <c r="H1033" t="s">
        <v>131</v>
      </c>
      <c r="I1033" t="s">
        <v>606</v>
      </c>
      <c r="J1033">
        <v>4000</v>
      </c>
      <c r="K1033">
        <v>8</v>
      </c>
      <c r="L1033">
        <f>VLOOKUP(Merge1[[#This Row],[제품코드]],공정중_우선순위[[제품코드]:[우선순위]],4,0)</f>
        <v>15</v>
      </c>
      <c r="M1033" s="10" t="str">
        <f>_xlfn.TEXTJOIN(CHAR(10), TRUE, ,Merge1[[#This Row],[제품명]],Merge1[[#This Row],[오더번호]],Merge1[[#This Row],[제조번호]],Merge1[[#This Row],[지시수량]])</f>
        <v>헤파멜즈인퓨전주5G 10A (한화제약)
1015571
25035
4000</v>
      </c>
    </row>
    <row r="1034" spans="1:13" ht="67.5" x14ac:dyDescent="0.25">
      <c r="A1034" t="s">
        <v>587</v>
      </c>
      <c r="B1034" t="s">
        <v>668</v>
      </c>
      <c r="C1034" t="s">
        <v>619</v>
      </c>
      <c r="D1034" t="s">
        <v>171</v>
      </c>
      <c r="E1034" t="s">
        <v>172</v>
      </c>
      <c r="F1034" t="s">
        <v>672</v>
      </c>
      <c r="G1034">
        <v>70</v>
      </c>
      <c r="H1034" t="s">
        <v>131</v>
      </c>
      <c r="I1034" t="s">
        <v>606</v>
      </c>
      <c r="J1034">
        <v>4000</v>
      </c>
      <c r="K1034">
        <v>8</v>
      </c>
      <c r="L1034">
        <f>VLOOKUP(Merge1[[#This Row],[제품코드]],공정중_우선순위[[제품코드]:[우선순위]],4,0)</f>
        <v>15</v>
      </c>
      <c r="M1034" s="10" t="str">
        <f>_xlfn.TEXTJOIN(CHAR(10), TRUE, ,Merge1[[#This Row],[제품명]],Merge1[[#This Row],[오더번호]],Merge1[[#This Row],[제조번호]],Merge1[[#This Row],[지시수량]])</f>
        <v>헤파멜즈인퓨전주5G 10A (한화제약)
1015572
25036
4000</v>
      </c>
    </row>
    <row r="1035" spans="1:13" ht="67.5" x14ac:dyDescent="0.25">
      <c r="A1035" t="s">
        <v>587</v>
      </c>
      <c r="B1035" t="s">
        <v>668</v>
      </c>
      <c r="C1035" t="s">
        <v>524</v>
      </c>
      <c r="D1035" t="s">
        <v>171</v>
      </c>
      <c r="E1035" t="s">
        <v>172</v>
      </c>
      <c r="F1035" t="s">
        <v>673</v>
      </c>
      <c r="G1035">
        <v>80</v>
      </c>
      <c r="H1035" t="s">
        <v>139</v>
      </c>
      <c r="I1035" t="s">
        <v>596</v>
      </c>
      <c r="J1035">
        <v>4000</v>
      </c>
      <c r="K1035">
        <v>8</v>
      </c>
      <c r="L1035">
        <f>VLOOKUP(Merge1[[#This Row],[제품코드]],공정중_우선순위[[제품코드]:[우선순위]],4,0)</f>
        <v>15</v>
      </c>
      <c r="M1035" s="10" t="str">
        <f>_xlfn.TEXTJOIN(CHAR(10), TRUE, ,Merge1[[#This Row],[제품명]],Merge1[[#This Row],[오더번호]],Merge1[[#This Row],[제조번호]],Merge1[[#This Row],[지시수량]])</f>
        <v>헤파멜즈인퓨전주5G 10A (한화제약)
1015542
25031
4000</v>
      </c>
    </row>
    <row r="1036" spans="1:13" ht="67.5" x14ac:dyDescent="0.25">
      <c r="A1036" t="s">
        <v>587</v>
      </c>
      <c r="B1036" t="s">
        <v>668</v>
      </c>
      <c r="C1036" t="s">
        <v>518</v>
      </c>
      <c r="D1036" t="s">
        <v>171</v>
      </c>
      <c r="E1036" t="s">
        <v>172</v>
      </c>
      <c r="F1036" t="s">
        <v>674</v>
      </c>
      <c r="G1036">
        <v>80</v>
      </c>
      <c r="H1036" t="s">
        <v>139</v>
      </c>
      <c r="I1036" t="s">
        <v>596</v>
      </c>
      <c r="J1036">
        <v>4000</v>
      </c>
      <c r="K1036">
        <v>8</v>
      </c>
      <c r="L1036">
        <f>VLOOKUP(Merge1[[#This Row],[제품코드]],공정중_우선순위[[제품코드]:[우선순위]],4,0)</f>
        <v>15</v>
      </c>
      <c r="M1036" s="10" t="str">
        <f>_xlfn.TEXTJOIN(CHAR(10), TRUE, ,Merge1[[#This Row],[제품명]],Merge1[[#This Row],[오더번호]],Merge1[[#This Row],[제조번호]],Merge1[[#This Row],[지시수량]])</f>
        <v>헤파멜즈인퓨전주5G 10A (한화제약)
1015543
25032
4000</v>
      </c>
    </row>
    <row r="1037" spans="1:13" ht="67.5" x14ac:dyDescent="0.25">
      <c r="A1037" t="s">
        <v>587</v>
      </c>
      <c r="B1037" t="s">
        <v>668</v>
      </c>
      <c r="C1037" t="s">
        <v>675</v>
      </c>
      <c r="D1037" t="s">
        <v>171</v>
      </c>
      <c r="E1037" t="s">
        <v>172</v>
      </c>
      <c r="F1037" t="s">
        <v>676</v>
      </c>
      <c r="G1037">
        <v>80</v>
      </c>
      <c r="H1037" t="s">
        <v>139</v>
      </c>
      <c r="I1037" t="s">
        <v>596</v>
      </c>
      <c r="J1037">
        <v>4000</v>
      </c>
      <c r="K1037">
        <v>8</v>
      </c>
      <c r="L1037">
        <f>VLOOKUP(Merge1[[#This Row],[제품코드]],공정중_우선순위[[제품코드]:[우선순위]],4,0)</f>
        <v>15</v>
      </c>
      <c r="M1037" s="10" t="str">
        <f>_xlfn.TEXTJOIN(CHAR(10), TRUE, ,Merge1[[#This Row],[제품명]],Merge1[[#This Row],[오더번호]],Merge1[[#This Row],[제조번호]],Merge1[[#This Row],[지시수량]])</f>
        <v>헤파멜즈인퓨전주5G 10A (한화제약)
1015544
25033
4000</v>
      </c>
    </row>
    <row r="1038" spans="1:13" ht="67.5" x14ac:dyDescent="0.25">
      <c r="A1038" t="s">
        <v>587</v>
      </c>
      <c r="B1038" t="s">
        <v>668</v>
      </c>
      <c r="C1038" t="s">
        <v>669</v>
      </c>
      <c r="D1038" t="s">
        <v>171</v>
      </c>
      <c r="E1038" t="s">
        <v>172</v>
      </c>
      <c r="F1038" t="s">
        <v>670</v>
      </c>
      <c r="G1038">
        <v>80</v>
      </c>
      <c r="H1038" t="s">
        <v>139</v>
      </c>
      <c r="I1038" t="s">
        <v>596</v>
      </c>
      <c r="J1038">
        <v>4000</v>
      </c>
      <c r="K1038">
        <v>8</v>
      </c>
      <c r="L1038">
        <f>VLOOKUP(Merge1[[#This Row],[제품코드]],공정중_우선순위[[제품코드]:[우선순위]],4,0)</f>
        <v>15</v>
      </c>
      <c r="M1038" s="10" t="str">
        <f>_xlfn.TEXTJOIN(CHAR(10), TRUE, ,Merge1[[#This Row],[제품명]],Merge1[[#This Row],[오더번호]],Merge1[[#This Row],[제조번호]],Merge1[[#This Row],[지시수량]])</f>
        <v>헤파멜즈인퓨전주5G 10A (한화제약)
1015570
25034
4000</v>
      </c>
    </row>
    <row r="1039" spans="1:13" ht="67.5" x14ac:dyDescent="0.25">
      <c r="A1039" t="s">
        <v>587</v>
      </c>
      <c r="B1039" t="s">
        <v>668</v>
      </c>
      <c r="C1039" t="s">
        <v>617</v>
      </c>
      <c r="D1039" t="s">
        <v>171</v>
      </c>
      <c r="E1039" t="s">
        <v>172</v>
      </c>
      <c r="F1039" t="s">
        <v>671</v>
      </c>
      <c r="G1039">
        <v>80</v>
      </c>
      <c r="H1039" t="s">
        <v>139</v>
      </c>
      <c r="I1039" t="s">
        <v>596</v>
      </c>
      <c r="J1039">
        <v>4000</v>
      </c>
      <c r="K1039">
        <v>8</v>
      </c>
      <c r="L1039">
        <f>VLOOKUP(Merge1[[#This Row],[제품코드]],공정중_우선순위[[제품코드]:[우선순위]],4,0)</f>
        <v>15</v>
      </c>
      <c r="M1039" s="10" t="str">
        <f>_xlfn.TEXTJOIN(CHAR(10), TRUE, ,Merge1[[#This Row],[제품명]],Merge1[[#This Row],[오더번호]],Merge1[[#This Row],[제조번호]],Merge1[[#This Row],[지시수량]])</f>
        <v>헤파멜즈인퓨전주5G 10A (한화제약)
1015571
25035
4000</v>
      </c>
    </row>
    <row r="1040" spans="1:13" ht="67.5" x14ac:dyDescent="0.25">
      <c r="A1040" t="s">
        <v>587</v>
      </c>
      <c r="B1040" t="s">
        <v>668</v>
      </c>
      <c r="C1040" t="s">
        <v>619</v>
      </c>
      <c r="D1040" t="s">
        <v>171</v>
      </c>
      <c r="E1040" t="s">
        <v>172</v>
      </c>
      <c r="F1040" t="s">
        <v>672</v>
      </c>
      <c r="G1040">
        <v>80</v>
      </c>
      <c r="H1040" t="s">
        <v>139</v>
      </c>
      <c r="I1040" t="s">
        <v>596</v>
      </c>
      <c r="J1040">
        <v>4000</v>
      </c>
      <c r="K1040">
        <v>8</v>
      </c>
      <c r="L1040">
        <f>VLOOKUP(Merge1[[#This Row],[제품코드]],공정중_우선순위[[제품코드]:[우선순위]],4,0)</f>
        <v>15</v>
      </c>
      <c r="M1040" s="10" t="str">
        <f>_xlfn.TEXTJOIN(CHAR(10), TRUE, ,Merge1[[#This Row],[제품명]],Merge1[[#This Row],[오더번호]],Merge1[[#This Row],[제조번호]],Merge1[[#This Row],[지시수량]])</f>
        <v>헤파멜즈인퓨전주5G 10A (한화제약)
1015572
25036
4000</v>
      </c>
    </row>
    <row r="1041" spans="1:13" ht="67.5" x14ac:dyDescent="0.25">
      <c r="A1041" t="s">
        <v>587</v>
      </c>
      <c r="B1041" t="s">
        <v>668</v>
      </c>
      <c r="C1041" t="s">
        <v>524</v>
      </c>
      <c r="D1041" t="s">
        <v>171</v>
      </c>
      <c r="E1041" t="s">
        <v>172</v>
      </c>
      <c r="F1041" t="s">
        <v>673</v>
      </c>
      <c r="G1041">
        <v>90</v>
      </c>
      <c r="H1041" t="s">
        <v>145</v>
      </c>
      <c r="I1041" t="s">
        <v>602</v>
      </c>
      <c r="J1041">
        <v>4000</v>
      </c>
      <c r="K1041">
        <v>11</v>
      </c>
      <c r="L1041">
        <f>VLOOKUP(Merge1[[#This Row],[제품코드]],공정중_우선순위[[제품코드]:[우선순위]],4,0)</f>
        <v>15</v>
      </c>
      <c r="M1041" s="10" t="str">
        <f>_xlfn.TEXTJOIN(CHAR(10), TRUE, ,Merge1[[#This Row],[제품명]],Merge1[[#This Row],[오더번호]],Merge1[[#This Row],[제조번호]],Merge1[[#This Row],[지시수량]])</f>
        <v>헤파멜즈인퓨전주5G 10A (한화제약)
1015542
25031
4000</v>
      </c>
    </row>
    <row r="1042" spans="1:13" ht="67.5" x14ac:dyDescent="0.25">
      <c r="A1042" t="s">
        <v>587</v>
      </c>
      <c r="B1042" t="s">
        <v>668</v>
      </c>
      <c r="C1042" t="s">
        <v>518</v>
      </c>
      <c r="D1042" t="s">
        <v>171</v>
      </c>
      <c r="E1042" t="s">
        <v>172</v>
      </c>
      <c r="F1042" t="s">
        <v>674</v>
      </c>
      <c r="G1042">
        <v>90</v>
      </c>
      <c r="H1042" t="s">
        <v>145</v>
      </c>
      <c r="I1042" t="s">
        <v>602</v>
      </c>
      <c r="J1042">
        <v>4000</v>
      </c>
      <c r="K1042">
        <v>11</v>
      </c>
      <c r="L1042">
        <f>VLOOKUP(Merge1[[#This Row],[제품코드]],공정중_우선순위[[제품코드]:[우선순위]],4,0)</f>
        <v>15</v>
      </c>
      <c r="M1042" s="10" t="str">
        <f>_xlfn.TEXTJOIN(CHAR(10), TRUE, ,Merge1[[#This Row],[제품명]],Merge1[[#This Row],[오더번호]],Merge1[[#This Row],[제조번호]],Merge1[[#This Row],[지시수량]])</f>
        <v>헤파멜즈인퓨전주5G 10A (한화제약)
1015543
25032
4000</v>
      </c>
    </row>
    <row r="1043" spans="1:13" ht="67.5" x14ac:dyDescent="0.25">
      <c r="A1043" t="s">
        <v>587</v>
      </c>
      <c r="B1043" t="s">
        <v>668</v>
      </c>
      <c r="C1043" t="s">
        <v>675</v>
      </c>
      <c r="D1043" t="s">
        <v>171</v>
      </c>
      <c r="E1043" t="s">
        <v>172</v>
      </c>
      <c r="F1043" t="s">
        <v>676</v>
      </c>
      <c r="G1043">
        <v>90</v>
      </c>
      <c r="H1043" t="s">
        <v>145</v>
      </c>
      <c r="I1043" t="s">
        <v>602</v>
      </c>
      <c r="J1043">
        <v>4000</v>
      </c>
      <c r="K1043">
        <v>11</v>
      </c>
      <c r="L1043">
        <f>VLOOKUP(Merge1[[#This Row],[제품코드]],공정중_우선순위[[제품코드]:[우선순위]],4,0)</f>
        <v>15</v>
      </c>
      <c r="M1043" s="10" t="str">
        <f>_xlfn.TEXTJOIN(CHAR(10), TRUE, ,Merge1[[#This Row],[제품명]],Merge1[[#This Row],[오더번호]],Merge1[[#This Row],[제조번호]],Merge1[[#This Row],[지시수량]])</f>
        <v>헤파멜즈인퓨전주5G 10A (한화제약)
1015544
25033
4000</v>
      </c>
    </row>
    <row r="1044" spans="1:13" ht="67.5" x14ac:dyDescent="0.25">
      <c r="A1044" t="s">
        <v>587</v>
      </c>
      <c r="B1044" t="s">
        <v>668</v>
      </c>
      <c r="C1044" t="s">
        <v>669</v>
      </c>
      <c r="D1044" t="s">
        <v>171</v>
      </c>
      <c r="E1044" t="s">
        <v>172</v>
      </c>
      <c r="F1044" t="s">
        <v>670</v>
      </c>
      <c r="G1044">
        <v>90</v>
      </c>
      <c r="H1044" t="s">
        <v>145</v>
      </c>
      <c r="I1044" t="s">
        <v>602</v>
      </c>
      <c r="J1044">
        <v>4000</v>
      </c>
      <c r="K1044">
        <v>11</v>
      </c>
      <c r="L1044">
        <f>VLOOKUP(Merge1[[#This Row],[제품코드]],공정중_우선순위[[제품코드]:[우선순위]],4,0)</f>
        <v>15</v>
      </c>
      <c r="M1044" s="10" t="str">
        <f>_xlfn.TEXTJOIN(CHAR(10), TRUE, ,Merge1[[#This Row],[제품명]],Merge1[[#This Row],[오더번호]],Merge1[[#This Row],[제조번호]],Merge1[[#This Row],[지시수량]])</f>
        <v>헤파멜즈인퓨전주5G 10A (한화제약)
1015570
25034
4000</v>
      </c>
    </row>
    <row r="1045" spans="1:13" ht="67.5" x14ac:dyDescent="0.25">
      <c r="A1045" t="s">
        <v>587</v>
      </c>
      <c r="B1045" t="s">
        <v>668</v>
      </c>
      <c r="C1045" t="s">
        <v>617</v>
      </c>
      <c r="D1045" t="s">
        <v>171</v>
      </c>
      <c r="E1045" t="s">
        <v>172</v>
      </c>
      <c r="F1045" t="s">
        <v>671</v>
      </c>
      <c r="G1045">
        <v>90</v>
      </c>
      <c r="H1045" t="s">
        <v>145</v>
      </c>
      <c r="I1045" t="s">
        <v>602</v>
      </c>
      <c r="J1045">
        <v>4000</v>
      </c>
      <c r="K1045">
        <v>11</v>
      </c>
      <c r="L1045">
        <f>VLOOKUP(Merge1[[#This Row],[제품코드]],공정중_우선순위[[제품코드]:[우선순위]],4,0)</f>
        <v>15</v>
      </c>
      <c r="M1045" s="10" t="str">
        <f>_xlfn.TEXTJOIN(CHAR(10), TRUE, ,Merge1[[#This Row],[제품명]],Merge1[[#This Row],[오더번호]],Merge1[[#This Row],[제조번호]],Merge1[[#This Row],[지시수량]])</f>
        <v>헤파멜즈인퓨전주5G 10A (한화제약)
1015571
25035
4000</v>
      </c>
    </row>
    <row r="1046" spans="1:13" ht="67.5" x14ac:dyDescent="0.25">
      <c r="A1046" t="s">
        <v>587</v>
      </c>
      <c r="B1046" t="s">
        <v>668</v>
      </c>
      <c r="C1046" t="s">
        <v>619</v>
      </c>
      <c r="D1046" t="s">
        <v>171</v>
      </c>
      <c r="E1046" t="s">
        <v>172</v>
      </c>
      <c r="F1046" t="s">
        <v>672</v>
      </c>
      <c r="G1046">
        <v>90</v>
      </c>
      <c r="H1046" t="s">
        <v>145</v>
      </c>
      <c r="I1046" t="s">
        <v>602</v>
      </c>
      <c r="J1046">
        <v>4000</v>
      </c>
      <c r="K1046">
        <v>11</v>
      </c>
      <c r="L1046">
        <f>VLOOKUP(Merge1[[#This Row],[제품코드]],공정중_우선순위[[제품코드]:[우선순위]],4,0)</f>
        <v>15</v>
      </c>
      <c r="M1046" s="10" t="str">
        <f>_xlfn.TEXTJOIN(CHAR(10), TRUE, ,Merge1[[#This Row],[제품명]],Merge1[[#This Row],[오더번호]],Merge1[[#This Row],[제조번호]],Merge1[[#This Row],[지시수량]])</f>
        <v>헤파멜즈인퓨전주5G 10A (한화제약)
1015572
25036
4000</v>
      </c>
    </row>
    <row r="1047" spans="1:13" ht="54" x14ac:dyDescent="0.25">
      <c r="A1047" t="s">
        <v>587</v>
      </c>
      <c r="B1047" t="s">
        <v>635</v>
      </c>
      <c r="C1047" t="s">
        <v>681</v>
      </c>
      <c r="D1047" t="s">
        <v>177</v>
      </c>
      <c r="E1047" t="s">
        <v>178</v>
      </c>
      <c r="F1047" t="s">
        <v>682</v>
      </c>
      <c r="G1047">
        <v>80</v>
      </c>
      <c r="H1047" t="s">
        <v>139</v>
      </c>
      <c r="I1047" t="s">
        <v>591</v>
      </c>
      <c r="J1047">
        <v>2000</v>
      </c>
      <c r="K1047">
        <v>10</v>
      </c>
      <c r="L1047">
        <f>VLOOKUP(Merge1[[#This Row],[제품코드]],공정중_우선순위[[제품코드]:[우선순위]],4,0)</f>
        <v>16</v>
      </c>
      <c r="M1047" s="10" t="str">
        <f>_xlfn.TEXTJOIN(CHAR(10), TRUE, ,Merge1[[#This Row],[제품명]],Merge1[[#This Row],[오더번호]],Merge1[[#This Row],[제조번호]],Merge1[[#This Row],[지시수량]])</f>
        <v>메조나카주 50A (알보젠코리아)
1015602
25002
2000</v>
      </c>
    </row>
    <row r="1048" spans="1:13" ht="54" x14ac:dyDescent="0.25">
      <c r="A1048" t="s">
        <v>587</v>
      </c>
      <c r="B1048" t="s">
        <v>635</v>
      </c>
      <c r="C1048" t="s">
        <v>681</v>
      </c>
      <c r="D1048" t="s">
        <v>177</v>
      </c>
      <c r="E1048" t="s">
        <v>178</v>
      </c>
      <c r="F1048" t="s">
        <v>682</v>
      </c>
      <c r="G1048">
        <v>90</v>
      </c>
      <c r="H1048" t="s">
        <v>145</v>
      </c>
      <c r="I1048" t="s">
        <v>601</v>
      </c>
      <c r="J1048">
        <v>2000</v>
      </c>
      <c r="K1048">
        <v>9</v>
      </c>
      <c r="L1048">
        <f>VLOOKUP(Merge1[[#This Row],[제품코드]],공정중_우선순위[[제품코드]:[우선순위]],4,0)</f>
        <v>16</v>
      </c>
      <c r="M1048" s="10" t="str">
        <f>_xlfn.TEXTJOIN(CHAR(10), TRUE, ,Merge1[[#This Row],[제품명]],Merge1[[#This Row],[오더번호]],Merge1[[#This Row],[제조번호]],Merge1[[#This Row],[지시수량]])</f>
        <v>메조나카주 50A (알보젠코리아)
1015602
25002
2000</v>
      </c>
    </row>
    <row r="1049" spans="1:13" ht="54" x14ac:dyDescent="0.25">
      <c r="A1049" t="s">
        <v>587</v>
      </c>
      <c r="B1049" t="s">
        <v>635</v>
      </c>
      <c r="C1049" t="s">
        <v>706</v>
      </c>
      <c r="D1049" t="s">
        <v>187</v>
      </c>
      <c r="E1049" t="s">
        <v>188</v>
      </c>
      <c r="F1049" t="s">
        <v>707</v>
      </c>
      <c r="G1049">
        <v>80</v>
      </c>
      <c r="H1049" t="s">
        <v>139</v>
      </c>
      <c r="I1049" t="s">
        <v>591</v>
      </c>
      <c r="J1049">
        <v>4000</v>
      </c>
      <c r="K1049">
        <v>6</v>
      </c>
      <c r="L1049">
        <f>VLOOKUP(Merge1[[#This Row],[제품코드]],공정중_우선순위[[제품코드]:[우선순위]],4,0)</f>
        <v>17</v>
      </c>
      <c r="M1049" s="10" t="str">
        <f>_xlfn.TEXTJOIN(CHAR(10), TRUE, ,Merge1[[#This Row],[제품명]],Merge1[[#This Row],[오더번호]],Merge1[[#This Row],[제조번호]],Merge1[[#This Row],[지시수량]])</f>
        <v>필로스주 10A (아모스팜)
1011665
A002046
4000</v>
      </c>
    </row>
    <row r="1050" spans="1:13" ht="54" x14ac:dyDescent="0.25">
      <c r="A1050" t="s">
        <v>587</v>
      </c>
      <c r="B1050" t="s">
        <v>635</v>
      </c>
      <c r="C1050" t="s">
        <v>708</v>
      </c>
      <c r="D1050" t="s">
        <v>187</v>
      </c>
      <c r="E1050" t="s">
        <v>188</v>
      </c>
      <c r="F1050" t="s">
        <v>709</v>
      </c>
      <c r="G1050">
        <v>80</v>
      </c>
      <c r="H1050" t="s">
        <v>139</v>
      </c>
      <c r="I1050" t="s">
        <v>591</v>
      </c>
      <c r="J1050">
        <v>4000</v>
      </c>
      <c r="K1050">
        <v>6</v>
      </c>
      <c r="L1050">
        <f>VLOOKUP(Merge1[[#This Row],[제품코드]],공정중_우선순위[[제품코드]:[우선순위]],4,0)</f>
        <v>17</v>
      </c>
      <c r="M1050" s="10" t="str">
        <f>_xlfn.TEXTJOIN(CHAR(10), TRUE, ,Merge1[[#This Row],[제품명]],Merge1[[#This Row],[오더번호]],Merge1[[#This Row],[제조번호]],Merge1[[#This Row],[지시수량]])</f>
        <v>필로스주 10A (아모스팜)
1011666
A002047
4000</v>
      </c>
    </row>
    <row r="1051" spans="1:13" ht="54" x14ac:dyDescent="0.25">
      <c r="A1051" t="s">
        <v>587</v>
      </c>
      <c r="B1051" t="s">
        <v>635</v>
      </c>
      <c r="C1051" t="s">
        <v>710</v>
      </c>
      <c r="D1051" t="s">
        <v>187</v>
      </c>
      <c r="E1051" t="s">
        <v>188</v>
      </c>
      <c r="F1051" t="s">
        <v>711</v>
      </c>
      <c r="G1051">
        <v>80</v>
      </c>
      <c r="H1051" t="s">
        <v>139</v>
      </c>
      <c r="I1051" t="s">
        <v>591</v>
      </c>
      <c r="J1051">
        <v>4000</v>
      </c>
      <c r="K1051">
        <v>6</v>
      </c>
      <c r="L1051">
        <f>VLOOKUP(Merge1[[#This Row],[제품코드]],공정중_우선순위[[제품코드]:[우선순위]],4,0)</f>
        <v>17</v>
      </c>
      <c r="M1051" s="10" t="str">
        <f>_xlfn.TEXTJOIN(CHAR(10), TRUE, ,Merge1[[#This Row],[제품명]],Merge1[[#This Row],[오더번호]],Merge1[[#This Row],[제조번호]],Merge1[[#This Row],[지시수량]])</f>
        <v>필로스주 10A (아모스팜)
1011667
A002048
4000</v>
      </c>
    </row>
    <row r="1052" spans="1:13" ht="54" x14ac:dyDescent="0.25">
      <c r="A1052" t="s">
        <v>587</v>
      </c>
      <c r="B1052" t="s">
        <v>635</v>
      </c>
      <c r="C1052" t="s">
        <v>706</v>
      </c>
      <c r="D1052" t="s">
        <v>187</v>
      </c>
      <c r="E1052" t="s">
        <v>188</v>
      </c>
      <c r="F1052" t="s">
        <v>707</v>
      </c>
      <c r="G1052">
        <v>90</v>
      </c>
      <c r="H1052" t="s">
        <v>145</v>
      </c>
      <c r="I1052" t="s">
        <v>601</v>
      </c>
      <c r="J1052">
        <v>4000</v>
      </c>
      <c r="K1052">
        <v>5</v>
      </c>
      <c r="L1052">
        <f>VLOOKUP(Merge1[[#This Row],[제품코드]],공정중_우선순위[[제품코드]:[우선순위]],4,0)</f>
        <v>17</v>
      </c>
      <c r="M1052" s="10" t="str">
        <f>_xlfn.TEXTJOIN(CHAR(10), TRUE, ,Merge1[[#This Row],[제품명]],Merge1[[#This Row],[오더번호]],Merge1[[#This Row],[제조번호]],Merge1[[#This Row],[지시수량]])</f>
        <v>필로스주 10A (아모스팜)
1011665
A002046
4000</v>
      </c>
    </row>
    <row r="1053" spans="1:13" ht="54" x14ac:dyDescent="0.25">
      <c r="A1053" t="s">
        <v>587</v>
      </c>
      <c r="B1053" t="s">
        <v>635</v>
      </c>
      <c r="C1053" t="s">
        <v>708</v>
      </c>
      <c r="D1053" t="s">
        <v>187</v>
      </c>
      <c r="E1053" t="s">
        <v>188</v>
      </c>
      <c r="F1053" t="s">
        <v>709</v>
      </c>
      <c r="G1053">
        <v>90</v>
      </c>
      <c r="H1053" t="s">
        <v>145</v>
      </c>
      <c r="I1053" t="s">
        <v>601</v>
      </c>
      <c r="J1053">
        <v>4000</v>
      </c>
      <c r="K1053">
        <v>5</v>
      </c>
      <c r="L1053">
        <f>VLOOKUP(Merge1[[#This Row],[제품코드]],공정중_우선순위[[제품코드]:[우선순위]],4,0)</f>
        <v>17</v>
      </c>
      <c r="M1053" s="10" t="str">
        <f>_xlfn.TEXTJOIN(CHAR(10), TRUE, ,Merge1[[#This Row],[제품명]],Merge1[[#This Row],[오더번호]],Merge1[[#This Row],[제조번호]],Merge1[[#This Row],[지시수량]])</f>
        <v>필로스주 10A (아모스팜)
1011666
A002047
4000</v>
      </c>
    </row>
    <row r="1054" spans="1:13" ht="54" x14ac:dyDescent="0.25">
      <c r="A1054" t="s">
        <v>587</v>
      </c>
      <c r="B1054" t="s">
        <v>635</v>
      </c>
      <c r="C1054" t="s">
        <v>710</v>
      </c>
      <c r="D1054" t="s">
        <v>187</v>
      </c>
      <c r="E1054" t="s">
        <v>188</v>
      </c>
      <c r="F1054" t="s">
        <v>711</v>
      </c>
      <c r="G1054">
        <v>90</v>
      </c>
      <c r="H1054" t="s">
        <v>145</v>
      </c>
      <c r="I1054" t="s">
        <v>601</v>
      </c>
      <c r="J1054">
        <v>4000</v>
      </c>
      <c r="K1054">
        <v>5</v>
      </c>
      <c r="L1054">
        <f>VLOOKUP(Merge1[[#This Row],[제품코드]],공정중_우선순위[[제품코드]:[우선순위]],4,0)</f>
        <v>17</v>
      </c>
      <c r="M1054" s="10" t="str">
        <f>_xlfn.TEXTJOIN(CHAR(10), TRUE, ,Merge1[[#This Row],[제품명]],Merge1[[#This Row],[오더번호]],Merge1[[#This Row],[제조번호]],Merge1[[#This Row],[지시수량]])</f>
        <v>필로스주 10A (아모스팜)
1011667
A002048
4000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00"/>
  <sheetViews>
    <sheetView workbookViewId="0">
      <selection activeCell="D13" sqref="D13"/>
    </sheetView>
  </sheetViews>
  <sheetFormatPr defaultRowHeight="13.5" x14ac:dyDescent="0.25"/>
  <cols>
    <col min="2" max="2" width="31.5703125" bestFit="1" customWidth="1"/>
    <col min="3" max="14" width="21.28515625" style="6" customWidth="1"/>
  </cols>
  <sheetData>
    <row r="2" spans="2:17" x14ac:dyDescent="0.25">
      <c r="B2" s="3" t="s">
        <v>200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</row>
    <row r="3" spans="2:17" x14ac:dyDescent="0.25">
      <c r="B3" s="4">
        <v>20</v>
      </c>
    </row>
    <row r="4" spans="2:17" ht="108" x14ac:dyDescent="0.25">
      <c r="B4" s="2" t="s">
        <v>269</v>
      </c>
      <c r="C4" s="11" t="s">
        <v>745</v>
      </c>
      <c r="D4" s="12" t="s">
        <v>746</v>
      </c>
      <c r="E4" s="12" t="s">
        <v>747</v>
      </c>
      <c r="F4" s="12" t="s">
        <v>748</v>
      </c>
      <c r="G4" s="12" t="s">
        <v>749</v>
      </c>
      <c r="H4" s="12" t="s">
        <v>750</v>
      </c>
      <c r="I4" s="12" t="s">
        <v>751</v>
      </c>
      <c r="J4" s="12" t="s">
        <v>752</v>
      </c>
      <c r="K4" s="12" t="s">
        <v>753</v>
      </c>
      <c r="L4" s="12" t="s">
        <v>754</v>
      </c>
      <c r="M4" s="12" t="s">
        <v>755</v>
      </c>
      <c r="N4" s="12" t="s">
        <v>756</v>
      </c>
      <c r="O4" s="11" t="s">
        <v>757</v>
      </c>
      <c r="P4" s="11" t="s">
        <v>758</v>
      </c>
      <c r="Q4" s="11" t="s">
        <v>759</v>
      </c>
    </row>
    <row r="5" spans="2:17" x14ac:dyDescent="0.25">
      <c r="B5" s="2" t="s">
        <v>219</v>
      </c>
    </row>
    <row r="6" spans="2:17" x14ac:dyDescent="0.25">
      <c r="B6" s="4">
        <v>21</v>
      </c>
    </row>
    <row r="7" spans="2:17" x14ac:dyDescent="0.25">
      <c r="B7" s="2" t="s">
        <v>219</v>
      </c>
      <c r="C7"/>
      <c r="D7"/>
      <c r="E7"/>
      <c r="F7"/>
      <c r="G7"/>
    </row>
    <row r="8" spans="2:17" x14ac:dyDescent="0.25">
      <c r="B8" s="4">
        <v>30</v>
      </c>
      <c r="C8"/>
      <c r="D8"/>
      <c r="E8"/>
      <c r="F8"/>
      <c r="G8"/>
    </row>
    <row r="9" spans="2:17" x14ac:dyDescent="0.25">
      <c r="B9" s="2" t="s">
        <v>491</v>
      </c>
      <c r="C9"/>
      <c r="D9"/>
      <c r="E9"/>
      <c r="F9"/>
      <c r="G9"/>
    </row>
    <row r="10" spans="2:17" x14ac:dyDescent="0.25">
      <c r="B10" s="4">
        <v>40</v>
      </c>
      <c r="C10"/>
      <c r="D10"/>
      <c r="E10"/>
      <c r="F10"/>
      <c r="G10"/>
    </row>
    <row r="11" spans="2:17" x14ac:dyDescent="0.25">
      <c r="B11" s="2" t="s">
        <v>496</v>
      </c>
      <c r="C11"/>
      <c r="D11"/>
      <c r="E11"/>
      <c r="F11"/>
      <c r="G11"/>
    </row>
    <row r="12" spans="2:17" x14ac:dyDescent="0.25">
      <c r="B12" s="4">
        <v>50</v>
      </c>
      <c r="C12"/>
      <c r="D12"/>
      <c r="E12"/>
      <c r="F12"/>
      <c r="G12"/>
    </row>
    <row r="13" spans="2:17" ht="67.5" x14ac:dyDescent="0.25">
      <c r="B13" s="2" t="s">
        <v>382</v>
      </c>
      <c r="C13"/>
      <c r="D13" s="11" t="s">
        <v>745</v>
      </c>
      <c r="E13"/>
      <c r="F13"/>
      <c r="G13"/>
    </row>
    <row r="14" spans="2:17" x14ac:dyDescent="0.25">
      <c r="B14" s="2" t="s">
        <v>222</v>
      </c>
      <c r="C14"/>
      <c r="D14"/>
      <c r="E14"/>
      <c r="F14"/>
      <c r="G14"/>
    </row>
    <row r="15" spans="2:17" x14ac:dyDescent="0.25">
      <c r="B15" s="4">
        <v>51</v>
      </c>
      <c r="C15"/>
      <c r="D15"/>
      <c r="E15"/>
      <c r="F15"/>
      <c r="G15"/>
    </row>
    <row r="16" spans="2:17" x14ac:dyDescent="0.25">
      <c r="B16" s="2" t="s">
        <v>222</v>
      </c>
      <c r="C16"/>
      <c r="D16"/>
      <c r="E16"/>
      <c r="F16"/>
      <c r="G16"/>
    </row>
    <row r="17" spans="2:7" x14ac:dyDescent="0.25">
      <c r="B17" s="4">
        <v>60</v>
      </c>
      <c r="C17"/>
      <c r="D17"/>
      <c r="E17"/>
      <c r="F17"/>
      <c r="G17"/>
    </row>
    <row r="18" spans="2:7" x14ac:dyDescent="0.25">
      <c r="B18" s="2" t="s">
        <v>501</v>
      </c>
      <c r="C18"/>
      <c r="D18"/>
      <c r="E18"/>
      <c r="F18"/>
      <c r="G18"/>
    </row>
    <row r="19" spans="2:7" x14ac:dyDescent="0.25">
      <c r="B19" s="2" t="s">
        <v>320</v>
      </c>
      <c r="C19"/>
    </row>
    <row r="20" spans="2:7" x14ac:dyDescent="0.25">
      <c r="B20" s="2" t="s">
        <v>204</v>
      </c>
      <c r="C20"/>
    </row>
    <row r="21" spans="2:7" x14ac:dyDescent="0.25">
      <c r="B21" s="2" t="s">
        <v>358</v>
      </c>
      <c r="C21"/>
    </row>
    <row r="22" spans="2:7" x14ac:dyDescent="0.25">
      <c r="B22" s="2" t="s">
        <v>396</v>
      </c>
      <c r="C22"/>
    </row>
    <row r="23" spans="2:7" x14ac:dyDescent="0.25">
      <c r="B23" s="2" t="s">
        <v>280</v>
      </c>
      <c r="C23"/>
    </row>
    <row r="24" spans="2:7" x14ac:dyDescent="0.25">
      <c r="B24" s="2" t="s">
        <v>225</v>
      </c>
      <c r="C24"/>
    </row>
    <row r="25" spans="2:7" x14ac:dyDescent="0.25">
      <c r="B25" s="4">
        <v>70</v>
      </c>
      <c r="C25"/>
    </row>
    <row r="26" spans="2:7" x14ac:dyDescent="0.25">
      <c r="B26" s="2" t="s">
        <v>238</v>
      </c>
      <c r="C26"/>
    </row>
    <row r="27" spans="2:7" x14ac:dyDescent="0.25">
      <c r="B27" s="4">
        <v>80</v>
      </c>
      <c r="C27" s="7"/>
    </row>
    <row r="28" spans="2:7" x14ac:dyDescent="0.25">
      <c r="B28" s="2" t="s">
        <v>316</v>
      </c>
      <c r="C28" s="7"/>
    </row>
    <row r="29" spans="2:7" x14ac:dyDescent="0.25">
      <c r="B29" s="2" t="s">
        <v>232</v>
      </c>
    </row>
    <row r="30" spans="2:7" x14ac:dyDescent="0.25">
      <c r="B30" s="2" t="s">
        <v>327</v>
      </c>
    </row>
    <row r="31" spans="2:7" x14ac:dyDescent="0.25">
      <c r="B31" s="4">
        <v>90</v>
      </c>
    </row>
    <row r="32" spans="2:7" x14ac:dyDescent="0.25">
      <c r="B32" s="2" t="s">
        <v>288</v>
      </c>
    </row>
    <row r="33" spans="2:7" x14ac:dyDescent="0.25">
      <c r="B33" s="4">
        <v>100</v>
      </c>
    </row>
    <row r="34" spans="2:7" x14ac:dyDescent="0.25">
      <c r="B34" s="2" t="s">
        <v>233</v>
      </c>
    </row>
    <row r="35" spans="2:7" x14ac:dyDescent="0.25">
      <c r="B35" s="4">
        <v>110</v>
      </c>
    </row>
    <row r="36" spans="2:7" x14ac:dyDescent="0.25">
      <c r="B36" s="2" t="s">
        <v>234</v>
      </c>
      <c r="E36" s="13"/>
      <c r="F36" s="13"/>
    </row>
    <row r="37" spans="2:7" x14ac:dyDescent="0.25">
      <c r="B37" s="2" t="s">
        <v>215</v>
      </c>
      <c r="E37" s="13"/>
      <c r="F37" s="13"/>
    </row>
    <row r="38" spans="2:7" x14ac:dyDescent="0.25">
      <c r="B38" s="2" t="s">
        <v>211</v>
      </c>
      <c r="E38" s="13"/>
      <c r="F38" s="13"/>
    </row>
    <row r="39" spans="2:7" x14ac:dyDescent="0.25">
      <c r="B39" s="4">
        <v>120</v>
      </c>
      <c r="D39" s="13"/>
      <c r="E39" s="11"/>
      <c r="F39" s="13"/>
      <c r="G39" s="11"/>
    </row>
    <row r="40" spans="2:7" x14ac:dyDescent="0.25">
      <c r="B40" s="2" t="s">
        <v>241</v>
      </c>
    </row>
    <row r="41" spans="2:7" x14ac:dyDescent="0.25">
      <c r="B41" s="3" t="s">
        <v>438</v>
      </c>
    </row>
    <row r="42" spans="2:7" x14ac:dyDescent="0.25">
      <c r="B42" s="4">
        <v>20</v>
      </c>
    </row>
    <row r="43" spans="2:7" x14ac:dyDescent="0.25">
      <c r="B43" s="2" t="s">
        <v>442</v>
      </c>
    </row>
    <row r="44" spans="2:7" x14ac:dyDescent="0.25">
      <c r="B44" s="4">
        <v>50</v>
      </c>
    </row>
    <row r="45" spans="2:7" x14ac:dyDescent="0.25">
      <c r="B45" s="2" t="s">
        <v>449</v>
      </c>
    </row>
    <row r="46" spans="2:7" x14ac:dyDescent="0.25">
      <c r="B46" s="4">
        <v>60</v>
      </c>
    </row>
    <row r="47" spans="2:7" x14ac:dyDescent="0.25">
      <c r="B47" s="2" t="s">
        <v>452</v>
      </c>
    </row>
    <row r="48" spans="2:7" ht="67.5" x14ac:dyDescent="0.25">
      <c r="B48" s="2" t="s">
        <v>473</v>
      </c>
      <c r="E48" s="11" t="s">
        <v>745</v>
      </c>
    </row>
    <row r="49" spans="2:7" x14ac:dyDescent="0.25">
      <c r="B49" s="4">
        <v>80</v>
      </c>
    </row>
    <row r="50" spans="2:7" ht="67.5" x14ac:dyDescent="0.25">
      <c r="B50" s="2" t="s">
        <v>476</v>
      </c>
      <c r="F50" s="11" t="s">
        <v>745</v>
      </c>
    </row>
    <row r="51" spans="2:7" x14ac:dyDescent="0.25">
      <c r="B51" s="4">
        <v>110</v>
      </c>
    </row>
    <row r="52" spans="2:7" ht="67.5" x14ac:dyDescent="0.25">
      <c r="B52" s="2" t="s">
        <v>455</v>
      </c>
      <c r="G52" s="11" t="s">
        <v>745</v>
      </c>
    </row>
    <row r="53" spans="2:7" x14ac:dyDescent="0.25">
      <c r="B53" s="3" t="s">
        <v>559</v>
      </c>
    </row>
    <row r="54" spans="2:7" x14ac:dyDescent="0.25">
      <c r="B54" s="4">
        <v>10</v>
      </c>
    </row>
    <row r="55" spans="2:7" x14ac:dyDescent="0.25">
      <c r="B55" s="2" t="s">
        <v>561</v>
      </c>
    </row>
    <row r="56" spans="2:7" x14ac:dyDescent="0.25">
      <c r="B56" s="2" t="s">
        <v>565</v>
      </c>
    </row>
    <row r="57" spans="2:7" x14ac:dyDescent="0.25">
      <c r="B57" s="4">
        <v>30</v>
      </c>
    </row>
    <row r="58" spans="2:7" x14ac:dyDescent="0.25">
      <c r="B58" s="2" t="s">
        <v>562</v>
      </c>
    </row>
    <row r="59" spans="2:7" x14ac:dyDescent="0.25">
      <c r="B59" s="2" t="s">
        <v>568</v>
      </c>
    </row>
    <row r="60" spans="2:7" x14ac:dyDescent="0.25">
      <c r="B60" s="3" t="s">
        <v>697</v>
      </c>
    </row>
    <row r="61" spans="2:7" x14ac:dyDescent="0.25">
      <c r="B61" s="4">
        <v>20</v>
      </c>
    </row>
    <row r="62" spans="2:7" x14ac:dyDescent="0.25">
      <c r="B62" s="2" t="s">
        <v>700</v>
      </c>
    </row>
    <row r="63" spans="2:7" x14ac:dyDescent="0.25">
      <c r="B63" s="4">
        <v>40</v>
      </c>
    </row>
    <row r="64" spans="2:7" x14ac:dyDescent="0.25">
      <c r="B64" s="2" t="s">
        <v>705</v>
      </c>
    </row>
    <row r="65" spans="2:2" x14ac:dyDescent="0.25">
      <c r="B65" s="3" t="s">
        <v>555</v>
      </c>
    </row>
    <row r="66" spans="2:2" x14ac:dyDescent="0.25">
      <c r="B66" s="4">
        <v>20</v>
      </c>
    </row>
    <row r="67" spans="2:2" x14ac:dyDescent="0.25">
      <c r="B67" s="2" t="s">
        <v>638</v>
      </c>
    </row>
    <row r="68" spans="2:2" x14ac:dyDescent="0.25">
      <c r="B68" s="2" t="s">
        <v>572</v>
      </c>
    </row>
    <row r="69" spans="2:2" x14ac:dyDescent="0.25">
      <c r="B69" s="2" t="s">
        <v>690</v>
      </c>
    </row>
    <row r="70" spans="2:2" x14ac:dyDescent="0.25">
      <c r="B70" s="4">
        <v>30</v>
      </c>
    </row>
    <row r="71" spans="2:2" x14ac:dyDescent="0.25">
      <c r="B71" s="2" t="s">
        <v>643</v>
      </c>
    </row>
    <row r="72" spans="2:2" x14ac:dyDescent="0.25">
      <c r="B72" s="2" t="s">
        <v>579</v>
      </c>
    </row>
    <row r="73" spans="2:2" x14ac:dyDescent="0.25">
      <c r="B73" s="2" t="s">
        <v>630</v>
      </c>
    </row>
    <row r="74" spans="2:2" x14ac:dyDescent="0.25">
      <c r="B74" s="2" t="s">
        <v>691</v>
      </c>
    </row>
    <row r="75" spans="2:2" x14ac:dyDescent="0.25">
      <c r="B75" s="4">
        <v>40</v>
      </c>
    </row>
    <row r="76" spans="2:2" x14ac:dyDescent="0.25">
      <c r="B76" s="2" t="s">
        <v>644</v>
      </c>
    </row>
    <row r="77" spans="2:2" x14ac:dyDescent="0.25">
      <c r="B77" s="2" t="s">
        <v>582</v>
      </c>
    </row>
    <row r="78" spans="2:2" x14ac:dyDescent="0.25">
      <c r="B78" s="2" t="s">
        <v>631</v>
      </c>
    </row>
    <row r="79" spans="2:2" x14ac:dyDescent="0.25">
      <c r="B79" s="2" t="s">
        <v>694</v>
      </c>
    </row>
    <row r="80" spans="2:2" x14ac:dyDescent="0.25">
      <c r="B80" s="4">
        <v>50</v>
      </c>
    </row>
    <row r="81" spans="2:2" x14ac:dyDescent="0.25">
      <c r="B81" s="2" t="s">
        <v>583</v>
      </c>
    </row>
    <row r="82" spans="2:2" x14ac:dyDescent="0.25">
      <c r="B82" s="4">
        <v>60</v>
      </c>
    </row>
    <row r="83" spans="2:2" x14ac:dyDescent="0.25">
      <c r="B83" s="2" t="s">
        <v>667</v>
      </c>
    </row>
    <row r="84" spans="2:2" x14ac:dyDescent="0.25">
      <c r="B84" s="2" t="s">
        <v>558</v>
      </c>
    </row>
    <row r="85" spans="2:2" x14ac:dyDescent="0.25">
      <c r="B85" s="2" t="s">
        <v>586</v>
      </c>
    </row>
    <row r="86" spans="2:2" x14ac:dyDescent="0.25">
      <c r="B86" s="3" t="s">
        <v>587</v>
      </c>
    </row>
    <row r="87" spans="2:2" x14ac:dyDescent="0.25">
      <c r="B87" s="4">
        <v>70</v>
      </c>
    </row>
    <row r="88" spans="2:2" x14ac:dyDescent="0.25">
      <c r="B88" s="2" t="s">
        <v>606</v>
      </c>
    </row>
    <row r="89" spans="2:2" x14ac:dyDescent="0.25">
      <c r="B89" s="2" t="s">
        <v>588</v>
      </c>
    </row>
    <row r="90" spans="2:2" x14ac:dyDescent="0.25">
      <c r="B90" s="2" t="s">
        <v>632</v>
      </c>
    </row>
    <row r="91" spans="2:2" x14ac:dyDescent="0.25">
      <c r="B91" s="4">
        <v>80</v>
      </c>
    </row>
    <row r="92" spans="2:2" x14ac:dyDescent="0.25">
      <c r="B92" s="2" t="s">
        <v>633</v>
      </c>
    </row>
    <row r="93" spans="2:2" x14ac:dyDescent="0.25">
      <c r="B93" s="2" t="s">
        <v>596</v>
      </c>
    </row>
    <row r="94" spans="2:2" x14ac:dyDescent="0.25">
      <c r="B94" s="2" t="s">
        <v>591</v>
      </c>
    </row>
    <row r="95" spans="2:2" x14ac:dyDescent="0.25">
      <c r="B95" s="4">
        <v>90</v>
      </c>
    </row>
    <row r="96" spans="2:2" x14ac:dyDescent="0.25">
      <c r="B96" s="2" t="s">
        <v>634</v>
      </c>
    </row>
    <row r="97" spans="2:2" x14ac:dyDescent="0.25">
      <c r="B97" s="2" t="s">
        <v>602</v>
      </c>
    </row>
    <row r="98" spans="2:2" x14ac:dyDescent="0.25">
      <c r="B98" s="2" t="s">
        <v>601</v>
      </c>
    </row>
    <row r="99" spans="2:2" x14ac:dyDescent="0.25">
      <c r="B99" s="4">
        <v>100</v>
      </c>
    </row>
    <row r="100" spans="2:2" x14ac:dyDescent="0.25">
      <c r="B100" s="2" t="s">
        <v>718</v>
      </c>
    </row>
  </sheetData>
  <sortState ref="C7:G26">
    <sortCondition ref="C7:C26"/>
    <sortCondition ref="G7:G26"/>
  </sortState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Views>
    <sheetView topLeftCell="A52" workbookViewId="0">
      <selection activeCell="E78" sqref="E78"/>
    </sheetView>
  </sheetViews>
  <sheetFormatPr defaultRowHeight="13.5" x14ac:dyDescent="0.25"/>
  <cols>
    <col min="1" max="1" width="15.140625" bestFit="1" customWidth="1"/>
    <col min="2" max="2" width="14.28515625" bestFit="1" customWidth="1"/>
    <col min="3" max="3" width="50.140625" bestFit="1" customWidth="1"/>
    <col min="4" max="4" width="11.42578125" bestFit="1" customWidth="1"/>
  </cols>
  <sheetData>
    <row r="1" spans="1:5" x14ac:dyDescent="0.25">
      <c r="A1" t="s">
        <v>191</v>
      </c>
      <c r="B1" t="s">
        <v>194</v>
      </c>
      <c r="C1" t="s">
        <v>195</v>
      </c>
      <c r="D1" t="s">
        <v>726</v>
      </c>
      <c r="E1" t="s">
        <v>728</v>
      </c>
    </row>
    <row r="2" spans="1:5" x14ac:dyDescent="0.25">
      <c r="A2" t="s">
        <v>727</v>
      </c>
      <c r="B2" t="s">
        <v>137</v>
      </c>
      <c r="C2" t="s">
        <v>138</v>
      </c>
      <c r="D2">
        <v>40000</v>
      </c>
      <c r="E2">
        <v>1</v>
      </c>
    </row>
    <row r="3" spans="1:5" x14ac:dyDescent="0.25">
      <c r="A3" t="s">
        <v>727</v>
      </c>
      <c r="B3" t="s">
        <v>162</v>
      </c>
      <c r="C3" t="s">
        <v>163</v>
      </c>
      <c r="D3">
        <v>8850</v>
      </c>
      <c r="E3">
        <v>2</v>
      </c>
    </row>
    <row r="4" spans="1:5" x14ac:dyDescent="0.25">
      <c r="A4" t="s">
        <v>727</v>
      </c>
      <c r="B4" t="s">
        <v>181</v>
      </c>
      <c r="C4" t="s">
        <v>182</v>
      </c>
      <c r="D4">
        <v>15000</v>
      </c>
      <c r="E4">
        <v>3</v>
      </c>
    </row>
    <row r="5" spans="1:5" x14ac:dyDescent="0.25">
      <c r="A5" t="s">
        <v>727</v>
      </c>
      <c r="B5" t="s">
        <v>179</v>
      </c>
      <c r="C5" t="s">
        <v>180</v>
      </c>
      <c r="D5">
        <v>8000</v>
      </c>
      <c r="E5">
        <v>4</v>
      </c>
    </row>
    <row r="6" spans="1:5" x14ac:dyDescent="0.25">
      <c r="A6" t="s">
        <v>727</v>
      </c>
      <c r="B6" t="s">
        <v>150</v>
      </c>
      <c r="C6" t="s">
        <v>151</v>
      </c>
      <c r="D6">
        <v>22000</v>
      </c>
      <c r="E6">
        <v>5</v>
      </c>
    </row>
    <row r="7" spans="1:5" x14ac:dyDescent="0.25">
      <c r="A7" t="s">
        <v>727</v>
      </c>
      <c r="B7" t="s">
        <v>183</v>
      </c>
      <c r="C7" t="s">
        <v>184</v>
      </c>
      <c r="D7">
        <v>13901</v>
      </c>
      <c r="E7">
        <v>6</v>
      </c>
    </row>
    <row r="8" spans="1:5" x14ac:dyDescent="0.25">
      <c r="A8" t="s">
        <v>727</v>
      </c>
      <c r="B8" t="s">
        <v>165</v>
      </c>
      <c r="C8" t="s">
        <v>166</v>
      </c>
      <c r="D8">
        <v>20000</v>
      </c>
      <c r="E8">
        <v>7</v>
      </c>
    </row>
    <row r="9" spans="1:5" x14ac:dyDescent="0.25">
      <c r="A9" t="s">
        <v>727</v>
      </c>
      <c r="B9" t="s">
        <v>175</v>
      </c>
      <c r="C9" t="s">
        <v>176</v>
      </c>
      <c r="D9">
        <v>76000</v>
      </c>
      <c r="E9">
        <v>8</v>
      </c>
    </row>
    <row r="10" spans="1:5" x14ac:dyDescent="0.25">
      <c r="A10" t="s">
        <v>727</v>
      </c>
      <c r="B10" t="s">
        <v>167</v>
      </c>
      <c r="C10" t="s">
        <v>168</v>
      </c>
      <c r="D10">
        <v>8000</v>
      </c>
      <c r="E10">
        <v>9</v>
      </c>
    </row>
    <row r="11" spans="1:5" x14ac:dyDescent="0.25">
      <c r="A11" t="s">
        <v>727</v>
      </c>
      <c r="B11" t="s">
        <v>173</v>
      </c>
      <c r="C11" t="s">
        <v>174</v>
      </c>
      <c r="D11">
        <v>5000</v>
      </c>
      <c r="E11">
        <v>10</v>
      </c>
    </row>
    <row r="12" spans="1:5" x14ac:dyDescent="0.25">
      <c r="A12" t="s">
        <v>727</v>
      </c>
      <c r="B12" t="s">
        <v>152</v>
      </c>
      <c r="C12" t="s">
        <v>153</v>
      </c>
      <c r="D12">
        <v>8000</v>
      </c>
      <c r="E12">
        <v>11</v>
      </c>
    </row>
    <row r="13" spans="1:5" x14ac:dyDescent="0.25">
      <c r="A13" t="s">
        <v>727</v>
      </c>
      <c r="B13" t="s">
        <v>169</v>
      </c>
      <c r="C13" t="s">
        <v>170</v>
      </c>
      <c r="D13">
        <v>42000</v>
      </c>
      <c r="E13">
        <v>12</v>
      </c>
    </row>
    <row r="14" spans="1:5" x14ac:dyDescent="0.25">
      <c r="A14" t="s">
        <v>727</v>
      </c>
      <c r="B14" t="s">
        <v>720</v>
      </c>
      <c r="C14" t="s">
        <v>721</v>
      </c>
      <c r="D14">
        <v>20000</v>
      </c>
      <c r="E14">
        <v>13</v>
      </c>
    </row>
    <row r="15" spans="1:5" x14ac:dyDescent="0.25">
      <c r="A15" t="s">
        <v>727</v>
      </c>
      <c r="B15" t="s">
        <v>189</v>
      </c>
      <c r="C15" t="s">
        <v>190</v>
      </c>
      <c r="D15">
        <v>6000</v>
      </c>
      <c r="E15">
        <v>14</v>
      </c>
    </row>
    <row r="16" spans="1:5" x14ac:dyDescent="0.25">
      <c r="A16" t="s">
        <v>727</v>
      </c>
      <c r="B16" t="s">
        <v>171</v>
      </c>
      <c r="C16" t="s">
        <v>172</v>
      </c>
      <c r="D16">
        <v>24000</v>
      </c>
      <c r="E16">
        <v>15</v>
      </c>
    </row>
    <row r="17" spans="1:5" x14ac:dyDescent="0.25">
      <c r="A17" t="s">
        <v>727</v>
      </c>
      <c r="B17" t="s">
        <v>177</v>
      </c>
      <c r="C17" t="s">
        <v>178</v>
      </c>
      <c r="D17">
        <v>2000</v>
      </c>
      <c r="E17">
        <v>16</v>
      </c>
    </row>
    <row r="18" spans="1:5" x14ac:dyDescent="0.25">
      <c r="A18" t="s">
        <v>727</v>
      </c>
      <c r="B18" t="s">
        <v>187</v>
      </c>
      <c r="C18" t="s">
        <v>188</v>
      </c>
      <c r="D18">
        <v>12000</v>
      </c>
      <c r="E18">
        <v>17</v>
      </c>
    </row>
    <row r="19" spans="1:5" x14ac:dyDescent="0.25">
      <c r="A19" t="s">
        <v>200</v>
      </c>
      <c r="B19" t="s">
        <v>133</v>
      </c>
      <c r="C19" t="s">
        <v>134</v>
      </c>
      <c r="D19">
        <v>1000000</v>
      </c>
      <c r="E19">
        <v>1</v>
      </c>
    </row>
    <row r="20" spans="1:5" x14ac:dyDescent="0.25">
      <c r="A20" t="s">
        <v>200</v>
      </c>
      <c r="B20" t="s">
        <v>135</v>
      </c>
      <c r="C20" t="s">
        <v>136</v>
      </c>
      <c r="D20">
        <v>1000000</v>
      </c>
      <c r="E20">
        <v>2</v>
      </c>
    </row>
    <row r="21" spans="1:5" x14ac:dyDescent="0.25">
      <c r="A21" t="s">
        <v>200</v>
      </c>
      <c r="B21" t="s">
        <v>90</v>
      </c>
      <c r="C21" t="s">
        <v>91</v>
      </c>
      <c r="D21">
        <v>200000</v>
      </c>
      <c r="E21">
        <v>3</v>
      </c>
    </row>
    <row r="22" spans="1:5" x14ac:dyDescent="0.25">
      <c r="A22" t="s">
        <v>200</v>
      </c>
      <c r="B22" t="s">
        <v>100</v>
      </c>
      <c r="C22" t="s">
        <v>101</v>
      </c>
      <c r="D22">
        <v>600000</v>
      </c>
      <c r="E22">
        <v>4</v>
      </c>
    </row>
    <row r="23" spans="1:5" x14ac:dyDescent="0.25">
      <c r="A23" t="s">
        <v>200</v>
      </c>
      <c r="B23" t="s">
        <v>96</v>
      </c>
      <c r="C23" t="s">
        <v>97</v>
      </c>
      <c r="D23">
        <v>300000</v>
      </c>
      <c r="E23">
        <v>5</v>
      </c>
    </row>
    <row r="24" spans="1:5" x14ac:dyDescent="0.25">
      <c r="A24" t="s">
        <v>200</v>
      </c>
      <c r="B24" t="s">
        <v>116</v>
      </c>
      <c r="C24" t="s">
        <v>117</v>
      </c>
      <c r="D24">
        <v>1200000</v>
      </c>
      <c r="E24">
        <v>6</v>
      </c>
    </row>
    <row r="25" spans="1:5" x14ac:dyDescent="0.25">
      <c r="A25" t="s">
        <v>200</v>
      </c>
      <c r="B25" t="s">
        <v>82</v>
      </c>
      <c r="C25" t="s">
        <v>83</v>
      </c>
      <c r="D25">
        <v>2800000</v>
      </c>
      <c r="E25">
        <v>7</v>
      </c>
    </row>
    <row r="26" spans="1:5" x14ac:dyDescent="0.25">
      <c r="A26" t="s">
        <v>200</v>
      </c>
      <c r="B26" t="s">
        <v>118</v>
      </c>
      <c r="C26" t="s">
        <v>119</v>
      </c>
      <c r="D26">
        <v>400000</v>
      </c>
      <c r="E26">
        <v>8</v>
      </c>
    </row>
    <row r="27" spans="1:5" x14ac:dyDescent="0.25">
      <c r="A27" t="s">
        <v>200</v>
      </c>
      <c r="B27" t="s">
        <v>122</v>
      </c>
      <c r="C27" t="s">
        <v>123</v>
      </c>
      <c r="D27">
        <v>1200000</v>
      </c>
      <c r="E27">
        <v>9</v>
      </c>
    </row>
    <row r="28" spans="1:5" x14ac:dyDescent="0.25">
      <c r="A28" t="s">
        <v>200</v>
      </c>
      <c r="B28" t="s">
        <v>124</v>
      </c>
      <c r="C28" t="s">
        <v>125</v>
      </c>
      <c r="D28">
        <v>400000</v>
      </c>
      <c r="E28">
        <v>10</v>
      </c>
    </row>
    <row r="29" spans="1:5" x14ac:dyDescent="0.25">
      <c r="A29" t="s">
        <v>200</v>
      </c>
      <c r="B29" t="s">
        <v>84</v>
      </c>
      <c r="C29" t="s">
        <v>85</v>
      </c>
      <c r="D29">
        <v>800000</v>
      </c>
      <c r="E29">
        <v>11</v>
      </c>
    </row>
    <row r="30" spans="1:5" x14ac:dyDescent="0.25">
      <c r="A30" t="s">
        <v>200</v>
      </c>
      <c r="B30" t="s">
        <v>19</v>
      </c>
      <c r="C30" t="s">
        <v>20</v>
      </c>
      <c r="D30">
        <v>600000</v>
      </c>
      <c r="E30">
        <v>12</v>
      </c>
    </row>
    <row r="31" spans="1:5" x14ac:dyDescent="0.25">
      <c r="A31" t="s">
        <v>200</v>
      </c>
      <c r="B31" t="s">
        <v>23</v>
      </c>
      <c r="C31" t="s">
        <v>24</v>
      </c>
      <c r="D31">
        <v>1200000</v>
      </c>
      <c r="E31">
        <v>13</v>
      </c>
    </row>
    <row r="32" spans="1:5" x14ac:dyDescent="0.25">
      <c r="A32" t="s">
        <v>200</v>
      </c>
      <c r="B32" t="s">
        <v>7</v>
      </c>
      <c r="C32" t="s">
        <v>8</v>
      </c>
      <c r="D32">
        <v>800000</v>
      </c>
      <c r="E32">
        <v>14</v>
      </c>
    </row>
    <row r="33" spans="1:5" x14ac:dyDescent="0.25">
      <c r="A33" t="s">
        <v>200</v>
      </c>
      <c r="B33" t="s">
        <v>50</v>
      </c>
      <c r="C33" t="s">
        <v>51</v>
      </c>
      <c r="D33">
        <v>1800000</v>
      </c>
      <c r="E33">
        <v>15</v>
      </c>
    </row>
    <row r="34" spans="1:5" x14ac:dyDescent="0.25">
      <c r="A34" t="s">
        <v>200</v>
      </c>
      <c r="B34" t="s">
        <v>48</v>
      </c>
      <c r="C34" t="s">
        <v>49</v>
      </c>
      <c r="D34">
        <v>600000</v>
      </c>
      <c r="E34">
        <v>16</v>
      </c>
    </row>
    <row r="35" spans="1:5" x14ac:dyDescent="0.25">
      <c r="A35" t="s">
        <v>200</v>
      </c>
      <c r="B35" t="s">
        <v>17</v>
      </c>
      <c r="C35" t="s">
        <v>18</v>
      </c>
      <c r="D35">
        <v>1200000</v>
      </c>
      <c r="E35">
        <v>17</v>
      </c>
    </row>
    <row r="36" spans="1:5" x14ac:dyDescent="0.25">
      <c r="A36" t="s">
        <v>200</v>
      </c>
      <c r="B36" t="s">
        <v>1</v>
      </c>
      <c r="C36" t="s">
        <v>2</v>
      </c>
      <c r="D36">
        <v>2400000</v>
      </c>
      <c r="E36">
        <v>18</v>
      </c>
    </row>
    <row r="37" spans="1:5" x14ac:dyDescent="0.25">
      <c r="A37" t="s">
        <v>200</v>
      </c>
      <c r="B37" t="s">
        <v>21</v>
      </c>
      <c r="C37" t="s">
        <v>22</v>
      </c>
      <c r="D37">
        <v>1200000</v>
      </c>
      <c r="E37">
        <v>19</v>
      </c>
    </row>
    <row r="38" spans="1:5" x14ac:dyDescent="0.25">
      <c r="A38" t="s">
        <v>200</v>
      </c>
      <c r="B38" t="s">
        <v>112</v>
      </c>
      <c r="C38" t="s">
        <v>113</v>
      </c>
      <c r="D38">
        <v>800000</v>
      </c>
      <c r="E38">
        <v>20</v>
      </c>
    </row>
    <row r="39" spans="1:5" x14ac:dyDescent="0.25">
      <c r="A39" t="s">
        <v>200</v>
      </c>
      <c r="B39" t="s">
        <v>110</v>
      </c>
      <c r="C39" t="s">
        <v>111</v>
      </c>
      <c r="D39">
        <v>1600000</v>
      </c>
      <c r="E39">
        <v>21</v>
      </c>
    </row>
    <row r="40" spans="1:5" x14ac:dyDescent="0.25">
      <c r="A40" t="s">
        <v>200</v>
      </c>
      <c r="B40" t="s">
        <v>108</v>
      </c>
      <c r="C40" t="s">
        <v>109</v>
      </c>
      <c r="D40">
        <v>4000000</v>
      </c>
      <c r="E40">
        <v>22</v>
      </c>
    </row>
    <row r="41" spans="1:5" x14ac:dyDescent="0.25">
      <c r="A41" t="s">
        <v>200</v>
      </c>
      <c r="B41" t="s">
        <v>102</v>
      </c>
      <c r="C41" t="s">
        <v>103</v>
      </c>
      <c r="D41">
        <v>1200000</v>
      </c>
      <c r="E41">
        <v>23</v>
      </c>
    </row>
    <row r="42" spans="1:5" x14ac:dyDescent="0.25">
      <c r="A42" t="s">
        <v>200</v>
      </c>
      <c r="B42" t="s">
        <v>114</v>
      </c>
      <c r="C42" t="s">
        <v>115</v>
      </c>
      <c r="D42">
        <v>400000</v>
      </c>
      <c r="E42">
        <v>24</v>
      </c>
    </row>
    <row r="43" spans="1:5" x14ac:dyDescent="0.25">
      <c r="A43" t="s">
        <v>200</v>
      </c>
      <c r="B43" t="s">
        <v>12</v>
      </c>
      <c r="C43" t="s">
        <v>13</v>
      </c>
      <c r="D43">
        <v>4800000</v>
      </c>
      <c r="E43">
        <v>25</v>
      </c>
    </row>
    <row r="44" spans="1:5" x14ac:dyDescent="0.25">
      <c r="A44" t="s">
        <v>200</v>
      </c>
      <c r="B44" t="s">
        <v>58</v>
      </c>
      <c r="C44" t="s">
        <v>59</v>
      </c>
      <c r="D44">
        <v>800000</v>
      </c>
      <c r="E44">
        <v>26</v>
      </c>
    </row>
    <row r="45" spans="1:5" x14ac:dyDescent="0.25">
      <c r="A45" t="s">
        <v>200</v>
      </c>
      <c r="B45" t="s">
        <v>15</v>
      </c>
      <c r="C45" t="s">
        <v>16</v>
      </c>
      <c r="D45">
        <v>2000000</v>
      </c>
      <c r="E45">
        <v>27</v>
      </c>
    </row>
    <row r="46" spans="1:5" x14ac:dyDescent="0.25">
      <c r="A46" t="s">
        <v>200</v>
      </c>
      <c r="B46" t="s">
        <v>66</v>
      </c>
      <c r="C46" t="s">
        <v>67</v>
      </c>
      <c r="D46">
        <v>2400000</v>
      </c>
      <c r="E46">
        <v>28</v>
      </c>
    </row>
    <row r="47" spans="1:5" x14ac:dyDescent="0.25">
      <c r="A47" t="s">
        <v>200</v>
      </c>
      <c r="B47" t="s">
        <v>120</v>
      </c>
      <c r="C47" t="s">
        <v>121</v>
      </c>
      <c r="D47">
        <v>1600000</v>
      </c>
      <c r="E47">
        <v>29</v>
      </c>
    </row>
    <row r="48" spans="1:5" x14ac:dyDescent="0.25">
      <c r="A48" t="s">
        <v>200</v>
      </c>
      <c r="B48" t="s">
        <v>62</v>
      </c>
      <c r="C48" t="s">
        <v>63</v>
      </c>
      <c r="D48">
        <v>800000</v>
      </c>
      <c r="E48">
        <v>30</v>
      </c>
    </row>
    <row r="49" spans="1:5" x14ac:dyDescent="0.25">
      <c r="A49" t="s">
        <v>200</v>
      </c>
      <c r="B49" t="s">
        <v>36</v>
      </c>
      <c r="C49" t="s">
        <v>37</v>
      </c>
      <c r="D49">
        <v>5600000</v>
      </c>
      <c r="E49">
        <v>31</v>
      </c>
    </row>
    <row r="50" spans="1:5" x14ac:dyDescent="0.25">
      <c r="A50" t="s">
        <v>200</v>
      </c>
      <c r="B50" t="s">
        <v>70</v>
      </c>
      <c r="C50" t="s">
        <v>71</v>
      </c>
      <c r="D50">
        <v>800000</v>
      </c>
      <c r="E50">
        <v>32</v>
      </c>
    </row>
    <row r="51" spans="1:5" x14ac:dyDescent="0.25">
      <c r="A51" t="s">
        <v>200</v>
      </c>
      <c r="B51" t="s">
        <v>74</v>
      </c>
      <c r="C51" t="s">
        <v>75</v>
      </c>
      <c r="D51">
        <v>800000</v>
      </c>
      <c r="E51">
        <v>33</v>
      </c>
    </row>
    <row r="52" spans="1:5" x14ac:dyDescent="0.25">
      <c r="A52" t="s">
        <v>200</v>
      </c>
      <c r="B52" t="s">
        <v>76</v>
      </c>
      <c r="C52" t="s">
        <v>77</v>
      </c>
      <c r="D52">
        <v>800000</v>
      </c>
      <c r="E52">
        <v>34</v>
      </c>
    </row>
    <row r="53" spans="1:5" x14ac:dyDescent="0.25">
      <c r="A53" t="s">
        <v>200</v>
      </c>
      <c r="B53" t="s">
        <v>78</v>
      </c>
      <c r="C53" t="s">
        <v>79</v>
      </c>
      <c r="D53">
        <v>1000000</v>
      </c>
      <c r="E53">
        <v>35</v>
      </c>
    </row>
    <row r="54" spans="1:5" x14ac:dyDescent="0.25">
      <c r="A54" t="s">
        <v>200</v>
      </c>
      <c r="B54" t="s">
        <v>68</v>
      </c>
      <c r="C54" t="s">
        <v>69</v>
      </c>
      <c r="D54">
        <v>1000000</v>
      </c>
      <c r="E54">
        <v>36</v>
      </c>
    </row>
    <row r="55" spans="1:5" x14ac:dyDescent="0.25">
      <c r="A55" t="s">
        <v>200</v>
      </c>
      <c r="B55" t="s">
        <v>72</v>
      </c>
      <c r="C55" t="s">
        <v>73</v>
      </c>
      <c r="D55">
        <v>1000000</v>
      </c>
      <c r="E55">
        <v>37</v>
      </c>
    </row>
    <row r="56" spans="1:5" x14ac:dyDescent="0.25">
      <c r="A56" t="s">
        <v>200</v>
      </c>
      <c r="B56" t="s">
        <v>64</v>
      </c>
      <c r="C56" t="s">
        <v>65</v>
      </c>
      <c r="D56">
        <v>2000000</v>
      </c>
      <c r="E56">
        <v>38</v>
      </c>
    </row>
    <row r="57" spans="1:5" x14ac:dyDescent="0.25">
      <c r="A57" t="s">
        <v>200</v>
      </c>
      <c r="B57" t="s">
        <v>52</v>
      </c>
      <c r="C57" t="s">
        <v>53</v>
      </c>
      <c r="D57">
        <v>1000000</v>
      </c>
      <c r="E57">
        <v>39</v>
      </c>
    </row>
    <row r="58" spans="1:5" x14ac:dyDescent="0.25">
      <c r="A58" t="s">
        <v>200</v>
      </c>
      <c r="B58" t="s">
        <v>27</v>
      </c>
      <c r="C58" t="s">
        <v>28</v>
      </c>
      <c r="D58">
        <v>5000000</v>
      </c>
      <c r="E58">
        <v>40</v>
      </c>
    </row>
    <row r="59" spans="1:5" x14ac:dyDescent="0.25">
      <c r="A59" t="s">
        <v>200</v>
      </c>
      <c r="B59" t="s">
        <v>60</v>
      </c>
      <c r="C59" t="s">
        <v>61</v>
      </c>
      <c r="D59">
        <v>1000000</v>
      </c>
      <c r="E59">
        <v>41</v>
      </c>
    </row>
    <row r="60" spans="1:5" x14ac:dyDescent="0.25">
      <c r="A60" t="s">
        <v>200</v>
      </c>
      <c r="B60" t="s">
        <v>30</v>
      </c>
      <c r="C60" t="s">
        <v>31</v>
      </c>
      <c r="D60">
        <v>500000</v>
      </c>
      <c r="E60">
        <v>42</v>
      </c>
    </row>
    <row r="61" spans="1:5" x14ac:dyDescent="0.25">
      <c r="A61" t="s">
        <v>200</v>
      </c>
      <c r="B61" t="s">
        <v>80</v>
      </c>
      <c r="C61" t="s">
        <v>81</v>
      </c>
      <c r="D61">
        <v>1800000</v>
      </c>
      <c r="E61">
        <v>43</v>
      </c>
    </row>
    <row r="62" spans="1:5" x14ac:dyDescent="0.25">
      <c r="A62" t="s">
        <v>200</v>
      </c>
      <c r="B62" t="s">
        <v>38</v>
      </c>
      <c r="C62" t="s">
        <v>39</v>
      </c>
      <c r="D62">
        <v>1200000</v>
      </c>
      <c r="E62">
        <v>44</v>
      </c>
    </row>
    <row r="63" spans="1:5" x14ac:dyDescent="0.25">
      <c r="A63" t="s">
        <v>200</v>
      </c>
      <c r="B63" t="s">
        <v>42</v>
      </c>
      <c r="C63" t="s">
        <v>43</v>
      </c>
      <c r="D63">
        <v>8000000</v>
      </c>
      <c r="E63">
        <v>45</v>
      </c>
    </row>
    <row r="64" spans="1:5" x14ac:dyDescent="0.25">
      <c r="A64" t="s">
        <v>200</v>
      </c>
      <c r="B64" t="s">
        <v>46</v>
      </c>
      <c r="C64" t="s">
        <v>47</v>
      </c>
      <c r="D64">
        <v>3000000</v>
      </c>
      <c r="E64">
        <v>46</v>
      </c>
    </row>
    <row r="65" spans="1:5" x14ac:dyDescent="0.25">
      <c r="A65" t="s">
        <v>200</v>
      </c>
      <c r="B65" t="s">
        <v>44</v>
      </c>
      <c r="C65" t="s">
        <v>45</v>
      </c>
      <c r="D65">
        <v>400000</v>
      </c>
      <c r="E65">
        <v>47</v>
      </c>
    </row>
    <row r="66" spans="1:5" x14ac:dyDescent="0.25">
      <c r="A66" t="s">
        <v>200</v>
      </c>
      <c r="B66" t="s">
        <v>88</v>
      </c>
      <c r="C66" t="s">
        <v>89</v>
      </c>
      <c r="D66">
        <v>3000000</v>
      </c>
      <c r="E66">
        <v>48</v>
      </c>
    </row>
    <row r="67" spans="1:5" x14ac:dyDescent="0.25">
      <c r="A67" t="s">
        <v>200</v>
      </c>
      <c r="B67" t="s">
        <v>25</v>
      </c>
      <c r="C67" t="s">
        <v>26</v>
      </c>
      <c r="D67">
        <v>4800000</v>
      </c>
      <c r="E67">
        <v>49</v>
      </c>
    </row>
    <row r="68" spans="1:5" x14ac:dyDescent="0.25">
      <c r="A68" t="s">
        <v>200</v>
      </c>
      <c r="B68" t="s">
        <v>54</v>
      </c>
      <c r="C68" t="s">
        <v>55</v>
      </c>
      <c r="D68">
        <v>600000</v>
      </c>
      <c r="E68">
        <v>50</v>
      </c>
    </row>
    <row r="69" spans="1:5" x14ac:dyDescent="0.25">
      <c r="A69" t="s">
        <v>200</v>
      </c>
      <c r="B69" t="s">
        <v>34</v>
      </c>
      <c r="C69" t="s">
        <v>35</v>
      </c>
      <c r="D69">
        <v>400000</v>
      </c>
      <c r="E69">
        <v>51</v>
      </c>
    </row>
    <row r="70" spans="1:5" x14ac:dyDescent="0.25">
      <c r="A70" t="s">
        <v>200</v>
      </c>
      <c r="B70" t="s">
        <v>32</v>
      </c>
      <c r="C70" t="s">
        <v>33</v>
      </c>
      <c r="D70">
        <v>5000000</v>
      </c>
      <c r="E70">
        <v>52</v>
      </c>
    </row>
    <row r="71" spans="1:5" x14ac:dyDescent="0.25">
      <c r="A71" t="s">
        <v>200</v>
      </c>
      <c r="B71" t="s">
        <v>56</v>
      </c>
      <c r="C71" t="s">
        <v>57</v>
      </c>
      <c r="D71">
        <v>1000000</v>
      </c>
      <c r="E71">
        <v>53</v>
      </c>
    </row>
    <row r="72" spans="1:5" x14ac:dyDescent="0.25">
      <c r="A72" t="s">
        <v>200</v>
      </c>
      <c r="B72" t="s">
        <v>40</v>
      </c>
      <c r="C72" t="s">
        <v>41</v>
      </c>
      <c r="D72">
        <v>1200000</v>
      </c>
      <c r="E72">
        <v>54</v>
      </c>
    </row>
    <row r="73" spans="1:5" x14ac:dyDescent="0.25">
      <c r="A73" t="s">
        <v>438</v>
      </c>
      <c r="B73" t="s">
        <v>98</v>
      </c>
      <c r="C73" t="s">
        <v>99</v>
      </c>
      <c r="D73">
        <v>400000</v>
      </c>
      <c r="E73">
        <v>1</v>
      </c>
    </row>
    <row r="74" spans="1:5" x14ac:dyDescent="0.25">
      <c r="A74" t="s">
        <v>438</v>
      </c>
      <c r="B74" t="s">
        <v>90</v>
      </c>
      <c r="C74" t="s">
        <v>91</v>
      </c>
      <c r="D74">
        <v>600000</v>
      </c>
      <c r="E74">
        <v>2</v>
      </c>
    </row>
    <row r="75" spans="1:5" x14ac:dyDescent="0.25">
      <c r="A75" t="s">
        <v>438</v>
      </c>
      <c r="B75" t="s">
        <v>100</v>
      </c>
      <c r="C75" t="s">
        <v>101</v>
      </c>
      <c r="D75">
        <v>600000</v>
      </c>
      <c r="E75">
        <v>3</v>
      </c>
    </row>
    <row r="76" spans="1:5" x14ac:dyDescent="0.25">
      <c r="A76" t="s">
        <v>438</v>
      </c>
      <c r="B76" t="s">
        <v>96</v>
      </c>
      <c r="C76" t="s">
        <v>97</v>
      </c>
      <c r="D76">
        <v>300000</v>
      </c>
      <c r="E76">
        <v>4</v>
      </c>
    </row>
    <row r="77" spans="1:5" x14ac:dyDescent="0.25">
      <c r="A77" t="s">
        <v>438</v>
      </c>
      <c r="B77" t="s">
        <v>86</v>
      </c>
      <c r="C77" t="s">
        <v>87</v>
      </c>
      <c r="D77">
        <v>4200000</v>
      </c>
      <c r="E77">
        <v>5</v>
      </c>
    </row>
    <row r="78" spans="1:5" x14ac:dyDescent="0.25">
      <c r="A78" t="s">
        <v>559</v>
      </c>
      <c r="B78" t="s">
        <v>148</v>
      </c>
      <c r="C78" t="s">
        <v>149</v>
      </c>
      <c r="D78">
        <v>66666</v>
      </c>
      <c r="E78">
        <v>1</v>
      </c>
    </row>
    <row r="79" spans="1:5" x14ac:dyDescent="0.25">
      <c r="A79" t="s">
        <v>559</v>
      </c>
      <c r="B79" t="s">
        <v>156</v>
      </c>
      <c r="C79" t="s">
        <v>157</v>
      </c>
      <c r="D79">
        <v>4800</v>
      </c>
      <c r="E79">
        <v>2</v>
      </c>
    </row>
    <row r="80" spans="1:5" x14ac:dyDescent="0.25">
      <c r="A80" t="s">
        <v>559</v>
      </c>
      <c r="B80" t="s">
        <v>154</v>
      </c>
      <c r="C80" t="s">
        <v>155</v>
      </c>
      <c r="D80">
        <v>26666</v>
      </c>
      <c r="E80">
        <v>3</v>
      </c>
    </row>
    <row r="81" spans="1:5" x14ac:dyDescent="0.25">
      <c r="A81" t="s">
        <v>559</v>
      </c>
      <c r="B81" t="s">
        <v>158</v>
      </c>
      <c r="C81" t="s">
        <v>159</v>
      </c>
      <c r="D81">
        <v>1600</v>
      </c>
      <c r="E81">
        <v>4</v>
      </c>
    </row>
    <row r="82" spans="1:5" x14ac:dyDescent="0.25">
      <c r="A82" t="s">
        <v>559</v>
      </c>
      <c r="B82" t="s">
        <v>160</v>
      </c>
      <c r="C82" t="s">
        <v>161</v>
      </c>
      <c r="D82">
        <v>8000</v>
      </c>
      <c r="E82">
        <v>5</v>
      </c>
    </row>
    <row r="83" spans="1:5" x14ac:dyDescent="0.25">
      <c r="A83" t="s">
        <v>559</v>
      </c>
      <c r="B83" t="s">
        <v>146</v>
      </c>
      <c r="C83" t="s">
        <v>147</v>
      </c>
      <c r="D83">
        <v>2000</v>
      </c>
      <c r="E83">
        <v>6</v>
      </c>
    </row>
    <row r="84" spans="1:5" x14ac:dyDescent="0.25">
      <c r="A84" t="s">
        <v>697</v>
      </c>
      <c r="B84" t="s">
        <v>185</v>
      </c>
      <c r="C84" t="s">
        <v>186</v>
      </c>
      <c r="D84">
        <v>19998</v>
      </c>
      <c r="E84">
        <v>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554A42-2286-4394-A1B8-1D5099E08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피벗</vt:lpstr>
      <vt:lpstr>Sheet1</vt:lpstr>
      <vt:lpstr>샘플</vt:lpstr>
      <vt:lpstr>우선순위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JGKim</dc:creator>
  <cp:lastModifiedBy>user</cp:lastModifiedBy>
  <dcterms:created xsi:type="dcterms:W3CDTF">2025-09-03T07:56:49Z</dcterms:created>
  <dcterms:modified xsi:type="dcterms:W3CDTF">2025-10-21T06:34:36Z</dcterms:modified>
</cp:coreProperties>
</file>